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赋能直播业务" sheetId="1" r:id="rId1"/>
    <sheet name="初中录播教辅问题解决" sheetId="2" r:id="rId2"/>
    <sheet name="以作业项目辐射其他群体" sheetId="3" r:id="rId3"/>
    <sheet name="全量进度管理" sheetId="4" r:id="rId4"/>
    <sheet name="7中前端班使用功能梳理" sheetId="5" r:id="rId5"/>
  </sheets>
  <calcPr calcId="0"/>
</workbook>
</file>

<file path=xl/sharedStrings.xml><?xml version="1.0" encoding="utf-8"?>
<sst xmlns="http://schemas.openxmlformats.org/spreadsheetml/2006/main">
  <si>
    <t>所属场景</t>
  </si>
  <si>
    <t>环节</t>
  </si>
  <si>
    <t>商用目标功能</t>
  </si>
  <si>
    <t>商用细分需求</t>
  </si>
  <si>
    <t>商用必备等级</t>
  </si>
  <si>
    <t>闻道作业现状</t>
  </si>
  <si>
    <t>是否满足商用目标</t>
  </si>
  <si>
    <t>后续计划</t>
  </si>
  <si>
    <t>计划完成时间</t>
  </si>
  <si>
    <t>状态</t>
  </si>
  <si>
    <t>校本资源建设与管理</t>
  </si>
  <si>
    <t>校本资源建设</t>
  </si>
  <si>
    <t>校本资源建设与管理闭环</t>
  </si>
  <si>
    <t>题单资源的便捷自主建设</t>
  </si>
  <si>
    <t>低</t>
  </si>
  <si>
    <t>支持教师自主建设题单；但欠缺一定的便捷性</t>
  </si>
  <si>
    <t>基本满足</t>
  </si>
  <si>
    <t>持续优化便捷性和AI识别准确性</t>
  </si>
  <si>
    <t>开发中</t>
  </si>
  <si>
    <t>校本资源数据看板</t>
  </si>
  <si>
    <t>无</t>
  </si>
  <si>
    <t>完全不满足</t>
  </si>
  <si>
    <t>待排期</t>
  </si>
  <si>
    <t>日常作业与练习</t>
  </si>
  <si>
    <t>组卷</t>
  </si>
  <si>
    <t>多来源兼容</t>
  </si>
  <si>
    <t>平台内题单资源使用</t>
  </si>
  <si>
    <t>高</t>
  </si>
  <si>
    <t>支持用户直接使用平台内题单</t>
  </si>
  <si>
    <t>完全满足</t>
  </si>
  <si>
    <t>基于学情的智能组卷</t>
  </si>
  <si>
    <t>支持教师基于学情进行智能组卷</t>
  </si>
  <si>
    <t>生成答题卡</t>
  </si>
  <si>
    <t>支持常见纸张</t>
  </si>
  <si>
    <t>支持学校常用纸张</t>
  </si>
  <si>
    <t>支持A3、A4、B4、8K常用纸张大小</t>
  </si>
  <si>
    <t>支持先制卡后制题</t>
  </si>
  <si>
    <t>考试场景拓展后兼容</t>
  </si>
  <si>
    <t>扫描</t>
  </si>
  <si>
    <t>多设备兼容</t>
  </si>
  <si>
    <t>支持主流品牌扫描仪的直连</t>
  </si>
  <si>
    <t>中</t>
  </si>
  <si>
    <t>理论上基本支持，但部分机器可能存在兼容问题，需具体型号具体观察和解决</t>
  </si>
  <si>
    <t>新增新设备使用时，提前调试，及时发现问题解决问题</t>
  </si>
  <si>
    <t>一键式便捷扫描</t>
  </si>
  <si>
    <t>扫描开始后自动进行，无额外人工动作</t>
  </si>
  <si>
    <t>支持一键快速扫描</t>
  </si>
  <si>
    <t>异常处理</t>
  </si>
  <si>
    <t>异常数据尽量少</t>
  </si>
  <si>
    <t>有规律的异常可以系统自动处理</t>
  </si>
  <si>
    <t>非必须</t>
  </si>
  <si>
    <t>部分能总结出规律的异常已加入系统规则，自动处理；但仍需持续观察异常数据，</t>
  </si>
  <si>
    <t>支持手动处理各类异常</t>
  </si>
  <si>
    <t>教师能手动处理各类异常</t>
  </si>
  <si>
    <t>支持教师、运营处理每次扫描数据的异常内容</t>
  </si>
  <si>
    <t>操作便捷</t>
  </si>
  <si>
    <t>交互复杂，存在一定的优化空间</t>
  </si>
  <si>
    <t>识别与批改</t>
  </si>
  <si>
    <t>识别准确率高</t>
  </si>
  <si>
    <t>AI自动识别客观题和分数准确率&gt;99.5%</t>
  </si>
  <si>
    <t>准确率稳定在99.5%~99.8%，处于行业中上水平</t>
  </si>
  <si>
    <t>识别结果校验</t>
  </si>
  <si>
    <t>支持快速检验采集结果的准确性</t>
  </si>
  <si>
    <t>支持集中呈现可能识别有误的数据，支持教师手动修正</t>
  </si>
  <si>
    <t>AI自动批阅</t>
  </si>
  <si>
    <t>作文类</t>
  </si>
  <si>
    <t>支持英语作文批阅，但是语文作文还欠缺</t>
  </si>
  <si>
    <t>支持语文作文</t>
  </si>
  <si>
    <t>填空题</t>
  </si>
  <si>
    <t>优先实现英语填空题的自动批阅</t>
  </si>
  <si>
    <t>已排期</t>
  </si>
  <si>
    <t>主观题</t>
  </si>
  <si>
    <t>留痕批阅</t>
  </si>
  <si>
    <t>在线批阅</t>
  </si>
  <si>
    <t>支持教师在线批阅</t>
  </si>
  <si>
    <t>支持教师在线批阅题单</t>
  </si>
  <si>
    <t>数据查看与应用</t>
  </si>
  <si>
    <t>教师查看数据</t>
  </si>
  <si>
    <t>教师查看单次测验数据</t>
  </si>
  <si>
    <t>支持教师查看单次测验数据</t>
  </si>
  <si>
    <t>教师查看阶段数据</t>
  </si>
  <si>
    <t>支持教师查看阶段数据，但是老版本；与当前业务的融合性不够</t>
  </si>
  <si>
    <t>升级阶段学情</t>
  </si>
  <si>
    <t>不同角色校管查看数据</t>
  </si>
  <si>
    <t>支持不同角色查看年级数据</t>
  </si>
  <si>
    <t>由于三方系统原因，导致权限会有部分放大，但总体不影响使用；后续优化权限</t>
  </si>
  <si>
    <t>教师讲评</t>
  </si>
  <si>
    <t>支持教师基于题单进行讲评</t>
  </si>
  <si>
    <t>支持讲评、导出讲评材料</t>
  </si>
  <si>
    <t>讲评页面书写流畅度有待优化</t>
  </si>
  <si>
    <t>学生查看数据</t>
  </si>
  <si>
    <t>学生查看单次作业数据</t>
  </si>
  <si>
    <t>支持学生查看单次测验数据</t>
  </si>
  <si>
    <t>学生查看阶段学情</t>
  </si>
  <si>
    <t>支持学生查看阶段学情</t>
  </si>
  <si>
    <t>学生基于学情的自习</t>
  </si>
  <si>
    <t>学生自习室：基于学情查看知识讲解、进行巩固练习</t>
  </si>
  <si>
    <t>支持学生基于学情进行知识、错题巩固</t>
  </si>
  <si>
    <t>错题的管理与运用</t>
  </si>
  <si>
    <t>教师查看并应用错题</t>
  </si>
  <si>
    <t>教师查看班级错题</t>
  </si>
  <si>
    <t>支持教师查看班级错题</t>
  </si>
  <si>
    <t>基于班级错题的应用</t>
  </si>
  <si>
    <t>支持教师基于错题进行组卷练习</t>
  </si>
  <si>
    <t>学生查看并管理错题</t>
  </si>
  <si>
    <t>学生查看并管理个人错题</t>
  </si>
  <si>
    <t>支持学生查看并管理个人错题</t>
  </si>
  <si>
    <t>教辅作业数据采集</t>
  </si>
  <si>
    <t>支持扫描教辅活页</t>
  </si>
  <si>
    <t>固定教辅全学科支持</t>
  </si>
  <si>
    <t>暂不支持英语学科，其他学科支持</t>
  </si>
  <si>
    <t>拓展英语学科的教辅扫描和识别</t>
  </si>
  <si>
    <t>由于教辅批阅随意，很多规律不好总结给AI，导致部分内容识别可能存在偏差</t>
  </si>
  <si>
    <t>1. 持续优化识别
2. 规范教师批阅行为</t>
  </si>
  <si>
    <t>教师查看教辅数据</t>
  </si>
  <si>
    <t>按书查看节点数据</t>
  </si>
  <si>
    <t>支持按节点查看数据</t>
  </si>
  <si>
    <t>教辅数据纳入阶段学情</t>
  </si>
  <si>
    <t>支持查看教辅阶段数据</t>
  </si>
  <si>
    <t>基于教辅数据讲评</t>
  </si>
  <si>
    <t>支持教师对教辅数据进行讲评</t>
  </si>
  <si>
    <t>支持教师基于教辅数据进行讲评</t>
  </si>
  <si>
    <t>学生查看教辅数据</t>
  </si>
  <si>
    <t>学生阶段学情增加教辅数据</t>
  </si>
  <si>
    <t>错题数据进入班级错题</t>
  </si>
  <si>
    <t>教师班级错题中包含教辅数据</t>
  </si>
  <si>
    <t>学生个人错题中包含教辅数据</t>
  </si>
  <si>
    <t>校级教学管理与洞察</t>
  </si>
  <si>
    <t>教学监管</t>
  </si>
  <si>
    <t>校级教学数据监管</t>
  </si>
  <si>
    <t>教学监管仪表盘</t>
  </si>
  <si>
    <t>支持校长查看月报</t>
  </si>
  <si>
    <t>内容待完善和丰富</t>
  </si>
  <si>
    <t>多场景应用数据融合</t>
  </si>
  <si>
    <t>课件资源的便捷建设</t>
  </si>
  <si>
    <t>暂不响应</t>
  </si>
  <si>
    <t>校本教辅的建设与使用（代为建设）</t>
  </si>
  <si>
    <t>支持为学校建设校本教辅，且可使用</t>
  </si>
  <si>
    <t>丰富的题库，支持题库选题组卷</t>
  </si>
  <si>
    <t>接入学科网，支持用户从我司题库或学科网选题进行组卷</t>
  </si>
  <si>
    <t>学科网刚接入，可能在后续还有一些适配相关优化，但需使用一段时间后才能发现问题</t>
  </si>
  <si>
    <t>自有试卷的快速使用</t>
  </si>
  <si>
    <t>支持AI切题识别后组卷，但还无法满足“快速”的要求</t>
  </si>
  <si>
    <t>支持现成题单快速添加标记后使用，后续再完善试题内容</t>
  </si>
  <si>
    <t>教师查看年级错题</t>
  </si>
  <si>
    <t>支持教师查看并应用年级错题</t>
  </si>
  <si>
    <t>基于错题自动生成学生个性化作业且可回采数据</t>
  </si>
  <si>
    <t>可以生成统一作业，个性化作业暂不支持</t>
  </si>
  <si>
    <t>多学科统考</t>
  </si>
  <si>
    <t>考试管理</t>
  </si>
  <si>
    <t>创建并管理考试</t>
  </si>
  <si>
    <t>新增、管理多学科的考试</t>
  </si>
  <si>
    <t>校内同考</t>
  </si>
  <si>
    <t>跨校同考</t>
  </si>
  <si>
    <t>考试进度监控</t>
  </si>
  <si>
    <t>细目表组卷</t>
  </si>
  <si>
    <t>支持细目表组卷</t>
  </si>
  <si>
    <t>先制卡后组卷</t>
  </si>
  <si>
    <t>支持先制卡后根据试题完善卷信息</t>
  </si>
  <si>
    <t>内容归属明确</t>
  </si>
  <si>
    <t>考试数据需明确，避免与日常作业数据混合</t>
  </si>
  <si>
    <t>便捷进行异常处理</t>
  </si>
  <si>
    <t>支持按上传记录进行异常处理</t>
  </si>
  <si>
    <t>批阅</t>
  </si>
  <si>
    <t>支持网阅</t>
  </si>
  <si>
    <t>支持按班批阅</t>
  </si>
  <si>
    <t>支持交叉按题、按人批阅</t>
  </si>
  <si>
    <t>支持双评模式及预警机制</t>
  </si>
  <si>
    <t>教师查看各类报告</t>
  </si>
  <si>
    <t>学生查看考试数据</t>
  </si>
  <si>
    <t>考试数据进入阶段学情</t>
  </si>
  <si>
    <t>闻道作业商用目标地图</t>
  </si>
  <si>
    <t>编号</t>
  </si>
  <si>
    <t>适用业务</t>
  </si>
  <si>
    <t>直播业务,录播业务,独立项目</t>
  </si>
  <si>
    <t>录播业务,独立项目</t>
  </si>
  <si>
    <t>上传异常优化</t>
  </si>
  <si>
    <t>指定给一个已经存在作答的用户时，支持选择是合并还是覆盖</t>
  </si>
  <si>
    <t>教师支持查看全班原卷；可快速切换</t>
  </si>
  <si>
    <t>支持查看单个学生原卷</t>
  </si>
  <si>
    <t>增设 “原卷区” ，无需逐个点击学生姓名，一键批量展示全班清晰扫描卷面，完整呈现每位学生整份答题情况，方便教师整体掌握学生答题细节。（建议：教师可选择“全卷展示”和“主观题展示”两种模式）</t>
  </si>
  <si>
    <t>支持安卓端查看各类学情数据</t>
  </si>
  <si>
    <t>错题再练快速生成操作</t>
  </si>
  <si>
    <t>直播业务,独立项目</t>
  </si>
  <si>
    <t>支持手动选择时间生成错题再练</t>
  </si>
  <si>
    <t>高频错题一键生成周周清小卷（可拓展：基于假期等不同场景，生成练习卷）</t>
  </si>
  <si>
    <t>直播业务,录播业务</t>
  </si>
  <si>
    <t>独立项目</t>
  </si>
  <si>
    <t>七中前端班使用待完善功能梳理（9月）</t>
  </si>
  <si>
    <t>应用场景</t>
  </si>
  <si>
    <t>需优化环节</t>
  </si>
  <si>
    <t>功能说明</t>
  </si>
  <si>
    <t>优先级</t>
  </si>
  <si>
    <t>备注</t>
  </si>
  <si>
    <t>日常教辅作业</t>
  </si>
  <si>
    <t>数据采集</t>
  </si>
  <si>
    <r>
      <rPr>
        <sz val="10"/>
      </rPr>
      <t xml:space="preserve">AI自动批阅（七中教师不全批全阅）-人工可核验（全学科：具体年级学科待确定）</t>
    </r>
    <r>
      <t xml:space="preserve">
</t>
    </r>
    <r>
      <rPr>
        <sz val="10"/>
      </rPr>
      <t xml:space="preserve">解决方案：</t>
    </r>
    <r>
      <t xml:space="preserve">
</t>
    </r>
    <r>
      <rPr>
        <sz val="10"/>
      </rPr>
      <t xml:space="preserve">1. 要求学生自己批阅</t>
    </r>
    <r>
      <t xml:space="preserve">
</t>
    </r>
    <r>
      <rPr>
        <strike/>
        <sz val="10"/>
      </rPr>
      <t xml:space="preserve">2. AI作为未批阅的试题的补充方案</t>
    </r>
  </si>
  <si>
    <t>P0</t>
  </si>
  <si>
    <t>全学科问题：具体年级学科待确定
主张：高一理科：英语、数学、物理、化学、生物
文科：语、数、外</t>
  </si>
  <si>
    <t>单次数据查看</t>
  </si>
  <si>
    <t>前端看远端数据</t>
  </si>
  <si>
    <t>P2</t>
  </si>
  <si>
    <r>
      <rPr>
        <color theme="1"/>
        <rFont val="等线"/>
        <sz val="10"/>
      </rPr>
      <t xml:space="preserve">学生</t>
    </r>
    <r>
      <rPr>
        <b/>
        <sz val="10"/>
      </rPr>
      <t xml:space="preserve">平板</t>
    </r>
    <r>
      <rPr>
        <color theme="1"/>
        <rFont val="等线"/>
        <sz val="10"/>
      </rPr>
      <t xml:space="preserve">查看教辅数据</t>
    </r>
  </si>
  <si>
    <t>方案一：安卓原生
安卓：5</t>
  </si>
  <si>
    <t>方案二：内嵌H5网页
前端：6</t>
  </si>
  <si>
    <t>学生平板查看学生学情</t>
  </si>
  <si>
    <t>方案一：安卓原生
安卓：3</t>
  </si>
  <si>
    <t>方案二：内嵌H5网页
前端：简单适配安卓3；重新设计10</t>
  </si>
  <si>
    <t>对比数据权限问题</t>
  </si>
  <si>
    <t>问题：考虑前端数据分享意愿
答案：暂不考虑意愿问题；屏蔽隐私信息后共享</t>
  </si>
  <si>
    <t>前端：1</t>
  </si>
  <si>
    <t>单次教辅数据UI优化</t>
  </si>
  <si>
    <t>阶段数据查看</t>
  </si>
  <si>
    <t>班级学情二期：阶段数据升级（含教辅等综合应用阶段数据）</t>
  </si>
  <si>
    <t>P1</t>
  </si>
  <si>
    <t>网校阶段学情：前远端数据对比</t>
  </si>
  <si>
    <t>班级学情一期：教辅独立的班级学情</t>
  </si>
  <si>
    <t>讲评</t>
  </si>
  <si>
    <t>支持调取学生作答（原卷？框选的作答区-有位置偏移）</t>
  </si>
  <si>
    <t>前端：3
后端：1</t>
  </si>
  <si>
    <t>书写流畅性问题</t>
  </si>
  <si>
    <t>远端学生可查看前端教师的讲评视频</t>
  </si>
  <si>
    <t>问题：考虑前端讲评数据分享意愿</t>
  </si>
  <si>
    <t>学生自学</t>
  </si>
  <si>
    <t>学生自习室基础板（网页-学情维度的各类试题）</t>
  </si>
  <si>
    <t>学生自习室-安卓应用</t>
  </si>
  <si>
    <t>课堂实录资源的整理（方案一：学本拆解、课堂记录优化）</t>
  </si>
  <si>
    <t>后端：6
前端：20
安卓：3</t>
  </si>
  <si>
    <t>课堂实录资源的整理（方案二：同步教学栏目拓展学生端）</t>
  </si>
  <si>
    <t>后端：3
前端：7
安卓：不确定看原生还是网页适配</t>
  </si>
  <si>
    <t>学生自习室-知识切片视频切片</t>
  </si>
  <si>
    <t>问题：视频资源的分享意愿</t>
  </si>
  <si>
    <t>校本资源库</t>
  </si>
  <si>
    <t>课堂资源</t>
  </si>
  <si>
    <t>课堂实录资源的整理（需确认是否9月前）</t>
  </si>
  <si>
    <t>待讨论</t>
  </si>
  <si>
    <t>问题：需确认是否需要给前端传达或暴露做视频切片的事项</t>
  </si>
  <si>
    <t>学生应用校本资源</t>
  </si>
  <si>
    <t>校本资源在学生角色的应用</t>
  </si>
  <si>
    <t>补充作业/周练</t>
  </si>
  <si>
    <t>系统外的题单的数据采集</t>
  </si>
  <si>
    <t>当前阶段：
1. 全走系统内制卷</t>
  </si>
  <si>
    <t>远端直接使用前端答题卡的方式对应的数据采集</t>
  </si>
  <si>
    <t>多学科合并分析</t>
  </si>
  <si>
    <t>支持创建分析任务，选择各科已发布题单聚合形成一次综合性分析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</si>
</sst>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3F3F3"/>
      <name val="Microsoft YaHei"/>
    </font>
    <font>
      <sz val="10"/>
      <name val="Microsoft YaHei"/>
    </font>
    <font>
      <b/>
      <sz val="11"/>
      <name val="Microsoft YaHei"/>
    </font>
    <font>
      <sz val="11"/>
      <name val="Microsoft YaHei"/>
    </font>
    <font>
      <sz val="11"/>
      <color rgb="FFFFFFFF"/>
      <name val="Microsoft YaHei"/>
    </font>
    <font>
      <sz val="10"/>
    </font>
    <font>
      <b/>
      <sz val="11"/>
      <color rgb="FF000000"/>
      <name val="Microsoft YaHei"/>
    </font>
    <font>
      <b/>
      <sz val="24"/>
      <color rgb="FFF3F3F3"/>
      <name val="Microsoft YaHei"/>
    </font>
    <font>
      <b/>
      <sz val="10"/>
      <color rgb="FF000000"/>
    </font>
    <font>
      <strike/>
      <sz val="10"/>
    </font>
    <font>
      <b/>
      <sz val="30"/>
      <color rgb="FFF3F3F3"/>
      <name val="Microsoft YaHei"/>
    </font>
    <font>
      <sz val="11"/>
      <name val="Microsoft YaHei"/>
    </font>
    <font>
      <sz val="10"/>
    </font>
    <font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4B0F1"/>
      </patternFill>
    </fill>
    <fill>
      <patternFill patternType="solid">
        <fgColor rgb="FF0071C1"/>
      </patternFill>
    </fill>
    <fill>
      <patternFill patternType="solid">
        <fgColor rgb="FFFCC102"/>
      </patternFill>
    </fill>
  </fills>
  <borders count="23">
    <border>
      <left/>
      <right/>
      <top/>
      <bottom/>
      <diagonal/>
    </border>
    <border>
      <left style="thin">
        <color rgb="FFDFEBF6"/>
      </left>
      <right style="thin">
        <color rgb="FFDFEBF6"/>
      </right>
      <top style="thin">
        <color rgb="FFDFEBF6"/>
      </top>
      <bottom style="thin">
        <color rgb="FFDFEBF6"/>
      </bottom>
      <diagonal/>
    </border>
    <border>
      <left style="thin">
        <color rgb="FFDFEBF6"/>
      </left>
      <right style="thin">
        <color rgb="FFDFEBF6"/>
      </right>
      <top style="thin">
        <color rgb="FF0071C1"/>
      </top>
      <bottom style="thin">
        <color rgb="FFDFEBF6"/>
      </bottom>
      <diagonal/>
    </border>
    <border>
      <left style="thin">
        <color rgb="FFDFEBF6"/>
      </left>
      <right style="thin">
        <color rgb="FF0071C1"/>
      </right>
      <top style="thin">
        <color rgb="FF0071C1"/>
      </top>
      <bottom style="thin">
        <color rgb="FFDFEBF6"/>
      </bottom>
      <diagonal/>
    </border>
    <border>
      <left style="thin">
        <color rgb="FF4472C6"/>
      </left>
      <right/>
      <top style="thin">
        <color rgb="FF4472C6"/>
      </top>
      <bottom style="thin">
        <color rgb="FF0071C1"/>
      </bottom>
      <diagonal/>
    </border>
    <border>
      <left style="thin">
        <color rgb="FFDFEBF6"/>
      </left>
      <right style="thin">
        <color rgb="FFDFEBF6"/>
      </right>
      <top/>
      <bottom/>
      <diagonal/>
    </border>
    <border>
      <left style="thin">
        <color rgb="FFDFEBF6"/>
      </left>
      <right style="thin">
        <color rgb="FFDFEBF6"/>
      </right>
      <top/>
      <bottom style="thin">
        <color rgb="FFDFEBF6"/>
      </bottom>
      <diagonal/>
    </border>
    <border>
      <left style="thin">
        <color rgb="FFDFEBF6"/>
      </left>
      <right style="thin">
        <color rgb="FF0071C1"/>
      </right>
      <top style="thin">
        <color rgb="FFDFEBF6"/>
      </top>
      <bottom style="thin">
        <color rgb="FFDFEBF6"/>
      </bottom>
      <diagonal/>
    </border>
    <border>
      <left style="thin">
        <color rgb="FF4472C6"/>
      </left>
      <right style="thin">
        <color rgb="FFDFEBF6"/>
      </right>
      <top style="thin">
        <color rgb="FFDFEBF6"/>
      </top>
      <bottom/>
      <diagonal/>
    </border>
    <border>
      <left/>
      <right/>
      <top style="thin">
        <color rgb="FF4472C6"/>
      </top>
      <bottom style="thin">
        <color rgb="FF0071C1"/>
      </bottom>
      <diagonal/>
    </border>
    <border>
      <left style="thin">
        <color rgb="FFDFEBF6"/>
      </left>
      <right style="thin">
        <color rgb="FFDFEBF6"/>
      </right>
      <top style="thin">
        <color rgb="FFDFEBF6"/>
      </top>
      <bottom/>
      <diagonal/>
    </border>
    <border>
      <left style="thin">
        <color rgb="FFDFEBF6"/>
      </left>
      <right style="thin">
        <color rgb="FFDFEBF6"/>
      </right>
      <top style="thin">
        <color rgb="FFDFEBF6"/>
      </top>
      <bottom style="thin">
        <color rgb="FF4472C6"/>
      </bottom>
      <diagonal/>
    </border>
    <border>
      <left style="thin">
        <color rgb="FFDFEBF6"/>
      </left>
      <right style="thin">
        <color rgb="FF0071C1"/>
      </right>
      <top style="thin">
        <color rgb="FFDFEBF6"/>
      </top>
      <bottom style="thin">
        <color rgb="FF4472C6"/>
      </bottom>
      <diagonal/>
    </border>
    <border>
      <left style="thin">
        <color rgb="FF4472C6"/>
      </left>
      <right/>
      <top/>
      <bottom/>
      <diagonal/>
    </border>
    <border>
      <left style="thin">
        <color rgb="FF4472C6"/>
      </left>
      <right style="thin">
        <color rgb="FFDFEBF6"/>
      </right>
      <top style="thin">
        <color rgb="FF0071C1"/>
      </top>
      <bottom style="thin">
        <color rgb="FFDFEBF6"/>
      </bottom>
      <diagonal/>
    </border>
    <border>
      <left style="thin">
        <color rgb="FF4472C6"/>
      </left>
      <right style="thin">
        <color rgb="FFDFEBF6"/>
      </right>
      <top style="thin">
        <color rgb="FFDFEBF6"/>
      </top>
      <bottom style="thin">
        <color rgb="FFDFEBF6"/>
      </bottom>
      <diagonal/>
    </border>
    <border>
      <left style="thin">
        <color rgb="FF4472C6"/>
      </left>
      <right style="thin">
        <color rgb="FFDFEBF6"/>
      </right>
      <top/>
      <bottom/>
      <diagonal/>
    </border>
    <border>
      <left style="thin">
        <color rgb="FF4472C6"/>
      </left>
      <right style="thin">
        <color rgb="FFDFEBF6"/>
      </right>
      <top style="thin">
        <color rgb="FFDFEBF6"/>
      </top>
      <bottom style="thin">
        <color rgb="FF4472C6"/>
      </bottom>
      <diagonal/>
    </border>
    <border>
      <left/>
      <right style="thin">
        <color rgb="FF4472C6"/>
      </right>
      <top style="thin">
        <color rgb="FF4472C6"/>
      </top>
      <bottom style="thin">
        <color rgb="FF0071C1"/>
      </bottom>
      <diagonal/>
    </border>
    <border>
      <left/>
      <right style="thin">
        <color rgb="FF4472C6"/>
      </right>
      <top/>
      <bottom/>
      <diagonal/>
    </border>
    <border>
      <left style="thin">
        <color rgb="FFDFEBF6"/>
      </left>
      <right style="thin">
        <color rgb="FF4472C6"/>
      </right>
      <top style="thin">
        <color rgb="FF0071C1"/>
      </top>
      <bottom style="thin">
        <color rgb="FFDFEBF6"/>
      </bottom>
      <diagonal/>
    </border>
    <border>
      <left style="thin">
        <color rgb="FFDFEBF6"/>
      </left>
      <right style="thin">
        <color rgb="FF4472C6"/>
      </right>
      <top style="thin">
        <color rgb="FFDFEBF6"/>
      </top>
      <bottom style="thin">
        <color rgb="FFDFEBF6"/>
      </bottom>
      <diagonal/>
    </border>
    <border>
      <left style="thin">
        <color rgb="FFDFEBF6"/>
      </left>
      <right style="thin">
        <color rgb="FF4472C6"/>
      </right>
      <top style="thin">
        <color rgb="FFDFEBF6"/>
      </top>
      <bottom style="thin">
        <color rgb="FF4472C6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0" borderId="0" xfId="0" applyFo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horizontal="center" vertical="center"/>
    </xf>
    <xf numFmtId="14" fontId="6" fillId="0" borderId="0" xfId="0" applyNumberFormat="1" applyFo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Protection="1">
      <alignment vertical="center"/>
    </xf>
    <xf numFmtId="14" fontId="7" fillId="0" borderId="1" xfId="0" applyNumberFormat="1" applyFont="1" applyBorder="1" applyProtection="1">
      <alignment horizontal="center" vertical="center"/>
    </xf>
    <xf numFmtId="0" fontId="8" fillId="3" borderId="2" xfId="0" applyFont="1" applyFill="1" applyBorder="1" applyProtection="1">
      <alignment horizontal="center" vertical="center"/>
    </xf>
    <xf numFmtId="14" fontId="8" fillId="3" borderId="2" xfId="0" applyNumberFormat="1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9" fillId="0" borderId="0" xfId="0" applyFont="1">
      <alignment horizontal="center" vertical="center"/>
    </xf>
    <xf numFmtId="0" fontId="10" fillId="0" borderId="1" xfId="0" applyFont="1" applyBorder="1" applyProtection="1">
      <alignment vertical="center" wrapText="1"/>
    </xf>
    <xf numFmtId="0" fontId="5" fillId="0" borderId="0" xfId="0" applyFont="1">
      <alignment vertical="center" wrapText="1"/>
    </xf>
    <xf numFmtId="0" fontId="11" fillId="3" borderId="4" xfId="0" applyFont="1" applyFill="1" applyBorder="1" applyProtection="1">
      <alignment horizontal="center" vertical="center" wrapText="1"/>
    </xf>
    <xf numFmtId="0" fontId="6" fillId="0" borderId="0" xfId="0" applyFont="1">
      <alignment horizontal="center" vertical="center" wrapText="1"/>
    </xf>
    <xf numFmtId="0" fontId="8" fillId="3" borderId="2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vertical="center" wrapText="1"/>
    </xf>
    <xf numFmtId="14" fontId="9" fillId="0" borderId="0" xfId="0" applyNumberFormat="1" applyFont="1">
      <alignment vertical="center"/>
    </xf>
    <xf numFmtId="0" fontId="6" fillId="0" borderId="1" xfId="0" applyFont="1" applyBorder="1" applyProtection="1">
      <alignment horizontal="left" vertical="center" wrapText="1"/>
    </xf>
    <xf numFmtId="0" fontId="9" fillId="0" borderId="0" xfId="0" applyFont="1">
      <alignment vertical="center" wrapText="1"/>
    </xf>
    <xf numFmtId="0" fontId="12" fillId="0" borderId="5" xfId="0" applyFont="1" applyBorder="1" applyProtection="1">
      <alignment vertical="center"/>
    </xf>
    <xf numFmtId="0" fontId="12" fillId="0" borderId="6" xfId="0" applyFont="1" applyBorder="1" applyProtection="1">
      <alignment vertical="center"/>
    </xf>
    <xf numFmtId="0" fontId="9" fillId="4" borderId="0" xfId="0" applyFont="1" applyFill="1">
      <alignment vertical="center"/>
    </xf>
    <xf numFmtId="0" fontId="5" fillId="0" borderId="0" xfId="0" applyFont="1">
      <alignment horizontal="center" vertical="center"/>
    </xf>
    <xf numFmtId="0" fontId="13" fillId="0" borderId="0" xfId="0" applyFont="1">
      <alignment vertical="center"/>
    </xf>
    <xf numFmtId="0" fontId="7" fillId="0" borderId="7" xfId="0" applyFont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13" fillId="4" borderId="0" xfId="0" applyFont="1" applyFill="1">
      <alignment vertical="center"/>
    </xf>
    <xf numFmtId="0" fontId="7" fillId="0" borderId="8" xfId="0" applyFont="1" applyBorder="1" applyProtection="1">
      <alignment horizontal="center" vertical="center" wrapText="1"/>
    </xf>
    <xf numFmtId="0" fontId="9" fillId="0" borderId="9" xfId="0" applyFont="1" applyBorder="1" applyProtection="1">
      <alignment vertical="center"/>
    </xf>
    <xf numFmtId="0" fontId="7" fillId="0" borderId="10" xfId="0" applyFont="1" applyBorder="1" applyProtection="1">
      <alignment horizontal="left" vertical="center" wrapText="1"/>
    </xf>
    <xf numFmtId="0" fontId="9" fillId="0" borderId="5" xfId="0" applyFont="1" applyBorder="1" applyProtection="1">
      <alignment vertical="center"/>
    </xf>
    <xf numFmtId="0" fontId="9" fillId="0" borderId="6" xfId="0" applyFont="1" applyBorder="1" applyProtection="1">
      <alignment vertical="center"/>
    </xf>
    <xf numFmtId="0" fontId="9" fillId="0" borderId="5" xfId="0" applyFont="1" applyBorder="1" applyProtection="1">
      <alignment vertical="center"/>
    </xf>
    <xf numFmtId="0" fontId="7" fillId="0" borderId="10" xfId="0" applyFont="1" applyBorder="1" applyProtection="1">
      <alignment vertical="center" wrapText="1"/>
    </xf>
    <xf numFmtId="0" fontId="9" fillId="0" borderId="6" xfId="0" applyFont="1" applyBorder="1" applyProtection="1">
      <alignment vertical="center"/>
    </xf>
    <xf numFmtId="0" fontId="10" fillId="0" borderId="10" xfId="0" applyFont="1" applyBorder="1" applyProtection="1">
      <alignment vertical="center" wrapText="1"/>
    </xf>
    <xf numFmtId="0" fontId="7" fillId="0" borderId="8" xfId="0" applyFont="1" applyBorder="1" applyProtection="1">
      <alignment vertical="center" wrapText="1"/>
    </xf>
    <xf numFmtId="0" fontId="9" fillId="0" borderId="9" xfId="0" applyFont="1" applyBorder="1" applyProtection="1">
      <alignment horizontal="center" vertical="center" wrapText="1"/>
    </xf>
    <xf numFmtId="0" fontId="9" fillId="0" borderId="9" xfId="0" applyFont="1" applyBorder="1" applyProtection="1">
      <alignment horizontal="center" vertical="center"/>
    </xf>
    <xf numFmtId="0" fontId="7" fillId="0" borderId="11" xfId="0" applyFont="1" applyBorder="1" applyProtection="1">
      <alignment vertical="center" wrapText="1"/>
    </xf>
    <xf numFmtId="0" fontId="10" fillId="0" borderId="11" xfId="0" applyFont="1" applyBorder="1" applyProtection="1">
      <alignment vertical="center" wrapText="1"/>
    </xf>
    <xf numFmtId="0" fontId="7" fillId="0" borderId="11" xfId="0" applyFont="1" applyBorder="1" applyProtection="1">
      <alignment vertical="center"/>
    </xf>
    <xf numFmtId="0" fontId="7" fillId="0" borderId="12" xfId="0" applyFont="1" applyBorder="1" applyProtection="1">
      <alignment horizontal="center" vertical="center"/>
    </xf>
    <xf numFmtId="14" fontId="7" fillId="0" borderId="11" xfId="0" applyNumberFormat="1" applyFont="1" applyBorder="1" applyProtection="1">
      <alignment horizontal="center" vertical="center"/>
    </xf>
    <xf numFmtId="0" fontId="14" fillId="3" borderId="4" xfId="0" applyFont="1" applyFill="1" applyBorder="1" applyProtection="1">
      <alignment horizontal="center" vertical="center" wrapText="1"/>
    </xf>
    <xf numFmtId="0" fontId="6" fillId="0" borderId="13" xfId="0" applyFont="1" applyBorder="1" applyProtection="1">
      <alignment horizontal="center" vertical="center"/>
    </xf>
    <xf numFmtId="0" fontId="8" fillId="3" borderId="14" xfId="0" applyFont="1" applyFill="1" applyBorder="1" applyProtection="1">
      <alignment horizontal="center" vertical="center"/>
    </xf>
    <xf numFmtId="0" fontId="7" fillId="0" borderId="15" xfId="0" applyFont="1" applyBorder="1" applyProtection="1">
      <alignment horizontal="center" vertical="center"/>
    </xf>
    <xf numFmtId="0" fontId="7" fillId="0" borderId="8" xfId="0" applyFont="1" applyBorder="1" applyProtection="1">
      <alignment horizontal="center" vertical="center"/>
    </xf>
    <xf numFmtId="0" fontId="9" fillId="0" borderId="16" xfId="0" applyFont="1" applyBorder="1" applyProtection="1">
      <alignment vertical="center"/>
    </xf>
    <xf numFmtId="0" fontId="7" fillId="0" borderId="17" xfId="0" applyFont="1" applyBorder="1" applyProtection="1">
      <alignment horizontal="center" vertical="center"/>
    </xf>
    <xf numFmtId="0" fontId="9" fillId="0" borderId="18" xfId="0" applyFont="1" applyBorder="1" applyProtection="1">
      <alignment horizontal="center" vertical="center"/>
    </xf>
    <xf numFmtId="0" fontId="6" fillId="0" borderId="19" xfId="0" applyFont="1" applyBorder="1" applyProtection="1">
      <alignment horizontal="center" vertical="center"/>
    </xf>
    <xf numFmtId="0" fontId="8" fillId="3" borderId="20" xfId="0" applyFont="1" applyFill="1" applyBorder="1" applyProtection="1">
      <alignment horizontal="center" vertical="center"/>
    </xf>
    <xf numFmtId="0" fontId="7" fillId="0" borderId="21" xfId="0" applyFont="1" applyBorder="1" applyProtection="1">
      <alignment vertical="center"/>
    </xf>
    <xf numFmtId="0" fontId="7" fillId="0" borderId="22" xfId="0" applyFont="1" applyBorder="1" applyProtection="1">
      <alignment vertical="center"/>
    </xf>
    <xf numFmtId="0" fontId="15" fillId="0" borderId="1" xfId="0" applyFont="1" applyBorder="1" applyProtection="1">
      <alignment vertical="center" wrapText="1"/>
    </xf>
    <xf numFmtId="0" fontId="16" fillId="0" borderId="0" xfId="0" applyFont="1">
      <alignment vertical="center" wrapText="1"/>
    </xf>
    <xf numFmtId="0" fontId="17" fillId="4" borderId="0" xfId="0" applyFont="1" applyFill="1">
      <alignment vertical="center" wrapText="1"/>
    </xf>
    <xf numFmtId="0" fontId="18" fillId="4" borderId="0" xfId="0" applyFont="1" applyFill="1">
      <alignment vertical="center" wrapText="1"/>
    </xf>
  </cellXfs>
  <cellStyles count="2">
    <cellStyle name="常规" xfId="0" builtinId="0"/>
    <cellStyle name="超链接" xfId="1" builtinId="8"/>
  </cellStyles>
  <dxfs count="3"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813D1A"/>
      </font>
      <fill>
        <patternFill>
          <bgColor rgb="FFFCE3A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2.525390625" customWidth="1"/>
    <col min="2" max="5" width="18.9990234375" customWidth="1"/>
    <col min="6" max="6" width="12" customWidth="1"/>
    <col min="7" max="7" width="59.625"/>
    <col min="8" max="8" width="16.5" customWidth="1"/>
    <col min="9" max="11" width="18.9990234375" customWidth="1"/>
  </cols>
  <sheetData>
    <row r="1" ht="16.5" customHeight="1">
      <c r="B1" s="54" t="s">
        <v>0</v>
      </c>
      <c r="C1" s="22" t="s">
        <v>1</v>
      </c>
      <c r="D1" s="22" t="s">
        <v>2</v>
      </c>
      <c r="E1" s="22" t="s">
        <v>3</v>
      </c>
      <c r="F1" s="14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</row>
    <row r="2" ht="18" customHeight="1">
      <c r="A2" s="10" t="n">
        <v>1</v>
      </c>
      <c r="B2" s="4" t="s">
        <f>VLOOKUP(A:A,'全量进度管理'!A:L,2,FALSE)</f>
        <v>10</v>
      </c>
      <c r="C2" s="4" t="s">
        <f>VLOOKUP(A:A,'全量进度管理'!A:L,3,FALSE)</f>
        <v>11</v>
      </c>
      <c r="D2" s="4" t="s">
        <f>VLOOKUP(A:A,'全量进度管理'!A:L,4,FALSE)</f>
        <v>12</v>
      </c>
      <c r="E2" s="4" t="s">
        <f>VLOOKUP(A:A,'全量进度管理'!A:L,5,FALSE)</f>
        <v>13</v>
      </c>
      <c r="F2" s="4" t="s">
        <v>14</v>
      </c>
      <c r="G2" s="4" t="s">
        <f>VLOOKUP(A:A,'全量进度管理'!A:L,8,FALSE)</f>
        <v>15</v>
      </c>
      <c r="H2" s="4" t="s">
        <f>VLOOKUP(A:A,'全量进度管理'!A:L,9,FALSE)</f>
        <v>16</v>
      </c>
      <c r="I2" s="4" t="s">
        <f>VLOOKUP(A:A,'全量进度管理'!A:L,10,FALSE)</f>
        <v>17</v>
      </c>
      <c r="J2" s="24" t="n">
        <f>VLOOKUP(A:A,'全量进度管理'!A:L,11,FALSE)</f>
        <v>46234</v>
      </c>
      <c r="K2" s="4" t="s">
        <f>VLOOKUP(A:A,'全量进度管理'!A:L,12,FALSE)</f>
        <v>18</v>
      </c>
    </row>
    <row r="3" ht="18" customHeight="1">
      <c r="A3" s="10" t="n">
        <v>3</v>
      </c>
      <c r="E3" s="4" t="s">
        <f>VLOOKUP(A:A,'全量进度管理'!A:L,5,FALSE)</f>
        <v>19</v>
      </c>
      <c r="F3" s="4" t="s">
        <f>VLOOKUP(A:A,'全量进度管理'!A:L,6,FALSE)</f>
        <v>14</v>
      </c>
      <c r="G3" s="4" t="s">
        <f>VLOOKUP(A:A,'全量进度管理'!A:L,8,FALSE)</f>
        <v>20</v>
      </c>
      <c r="H3" s="4" t="s">
        <f>VLOOKUP(A:A,'全量进度管理'!A:L,9,FALSE)</f>
        <v>21</v>
      </c>
      <c r="J3" s="24"/>
      <c r="K3" s="4" t="s">
        <f>VLOOKUP(A:A,'全量进度管理'!A:L,12,FALSE)</f>
        <v>22</v>
      </c>
    </row>
    <row r="4" ht="18" customHeight="1">
      <c r="A4" s="10" t="n">
        <v>5</v>
      </c>
      <c r="B4" s="4" t="s">
        <f>VLOOKUP(A:A,'全量进度管理'!A:L,2,FALSE)</f>
        <v>23</v>
      </c>
      <c r="C4" s="4" t="s">
        <f>VLOOKUP(A:A,'全量进度管理'!A:L,3,FALSE)</f>
        <v>24</v>
      </c>
      <c r="D4" s="4" t="s">
        <f>VLOOKUP(A:A,'全量进度管理'!A:L,4,FALSE)</f>
        <v>25</v>
      </c>
      <c r="E4" s="4" t="s">
        <f>VLOOKUP(A:A,'全量进度管理'!A:L,5,FALSE)</f>
        <v>26</v>
      </c>
      <c r="F4" s="4" t="s">
        <f>VLOOKUP(A:A,'全量进度管理'!A:L,6,FALSE)</f>
        <v>27</v>
      </c>
      <c r="G4" s="4" t="s">
        <f>VLOOKUP(A:A,'全量进度管理'!A:L,8,FALSE)</f>
        <v>28</v>
      </c>
      <c r="H4" s="4" t="s">
        <f>VLOOKUP(A:A,'全量进度管理'!A:L,9,FALSE)</f>
        <v>29</v>
      </c>
      <c r="J4" s="24"/>
    </row>
    <row r="5" ht="18" customHeight="1">
      <c r="A5" s="10" t="n">
        <v>8</v>
      </c>
      <c r="E5" s="4" t="s">
        <f>VLOOKUP(A:A,'全量进度管理'!A:L,5,FALSE)</f>
        <v>30</v>
      </c>
      <c r="F5" s="4" t="s">
        <f>VLOOKUP(A:A,'全量进度管理'!A:L,6,FALSE)</f>
        <v>14</v>
      </c>
      <c r="G5" s="4" t="s">
        <f>VLOOKUP(A:A,'全量进度管理'!A:L,8,FALSE)</f>
        <v>20</v>
      </c>
      <c r="H5" s="4" t="s">
        <f>VLOOKUP(A:A,'全量进度管理'!A:L,9,FALSE)</f>
        <v>21</v>
      </c>
      <c r="I5" s="4" t="s">
        <f>VLOOKUP(A:A,'全量进度管理'!A:L,10,FALSE)</f>
        <v>31</v>
      </c>
      <c r="J5" s="24"/>
      <c r="K5" s="4" t="s">
        <f>VLOOKUP(A:A,'全量进度管理'!A:L,12,FALSE)</f>
        <v>22</v>
      </c>
    </row>
    <row r="6" ht="18" customHeight="1">
      <c r="A6" s="10" t="n">
        <v>9</v>
      </c>
      <c r="C6" s="4" t="s">
        <f>VLOOKUP(A:A,'全量进度管理'!A:L,3,FALSE)</f>
        <v>32</v>
      </c>
      <c r="D6" s="4" t="s">
        <f>VLOOKUP(A:A,'全量进度管理'!A:L,4,FALSE)</f>
        <v>33</v>
      </c>
      <c r="E6" s="4" t="s">
        <f>VLOOKUP(A:A,'全量进度管理'!A:L,5,FALSE)</f>
        <v>34</v>
      </c>
      <c r="F6" s="4" t="s">
        <f>VLOOKUP(A:A,'全量进度管理'!A:L,6,FALSE)</f>
        <v>27</v>
      </c>
      <c r="G6" s="4" t="s">
        <f>VLOOKUP(A:A,'全量进度管理'!A:L,8,FALSE)</f>
        <v>35</v>
      </c>
      <c r="H6" s="4" t="s">
        <f>VLOOKUP(A:A,'全量进度管理'!A:L,9,FALSE)</f>
        <v>29</v>
      </c>
      <c r="J6" s="24"/>
    </row>
    <row r="7" ht="18" customHeight="1">
      <c r="A7" s="10" t="n">
        <v>10</v>
      </c>
      <c r="E7" s="4" t="s">
        <f>VLOOKUP(A:A,'全量进度管理'!A:L,5,FALSE)</f>
        <v>36</v>
      </c>
      <c r="F7" s="4" t="s">
        <f>VLOOKUP(A:A,'全量进度管理'!A:L,6,FALSE)</f>
        <v>14</v>
      </c>
      <c r="G7" s="4" t="s">
        <f>VLOOKUP(A:A,'全量进度管理'!A:L,8,FALSE)</f>
        <v>20</v>
      </c>
      <c r="H7" s="4" t="s">
        <f>VLOOKUP(A:A,'全量进度管理'!A:L,9,FALSE)</f>
        <v>21</v>
      </c>
      <c r="I7" s="4" t="s">
        <f>VLOOKUP(A:A,'全量进度管理'!A:L,10,FALSE)</f>
        <v>37</v>
      </c>
      <c r="J7" s="24"/>
      <c r="K7" s="4" t="s">
        <f>VLOOKUP(A:A,'全量进度管理'!A:L,12,FALSE)</f>
        <v>22</v>
      </c>
    </row>
    <row r="8" ht="18" customHeight="1">
      <c r="A8" s="10" t="n">
        <v>11</v>
      </c>
      <c r="C8" s="4" t="s">
        <f>VLOOKUP(A:A,'全量进度管理'!A:L,3,FALSE)</f>
        <v>38</v>
      </c>
      <c r="D8" s="4" t="s">
        <f>VLOOKUP(A:A,'全量进度管理'!A:L,4,FALSE)</f>
        <v>39</v>
      </c>
      <c r="E8" s="4" t="s">
        <f>VLOOKUP(A:A,'全量进度管理'!A:L,5,FALSE)</f>
        <v>40</v>
      </c>
      <c r="F8" s="4" t="s">
        <f>VLOOKUP(A:A,'全量进度管理'!A:L,6,FALSE)</f>
        <v>41</v>
      </c>
      <c r="G8" s="4" t="s">
        <f>VLOOKUP(A:A,'全量进度管理'!A:L,8,FALSE)</f>
        <v>42</v>
      </c>
      <c r="H8" s="4" t="s">
        <f>VLOOKUP(A:A,'全量进度管理'!A:L,9,FALSE)</f>
        <v>16</v>
      </c>
      <c r="I8" s="4" t="s">
        <f>VLOOKUP(A:A,'全量进度管理'!A:L,10,FALSE)</f>
        <v>43</v>
      </c>
      <c r="J8" s="24"/>
    </row>
    <row r="9" ht="18" customHeight="1">
      <c r="A9" s="10" t="n">
        <v>12</v>
      </c>
      <c r="D9" s="4" t="s">
        <f>VLOOKUP(A:A,'全量进度管理'!A:L,4,FALSE)</f>
        <v>44</v>
      </c>
      <c r="E9" s="4" t="s">
        <f>VLOOKUP(A:A,'全量进度管理'!A:L,5,FALSE)</f>
        <v>45</v>
      </c>
      <c r="F9" s="4" t="s">
        <f>VLOOKUP(A:A,'全量进度管理'!A:L,6,FALSE)</f>
        <v>41</v>
      </c>
      <c r="G9" s="4" t="s">
        <f>VLOOKUP(A:A,'全量进度管理'!A:L,8,FALSE)</f>
        <v>46</v>
      </c>
      <c r="H9" s="4" t="s">
        <f>VLOOKUP(A:A,'全量进度管理'!A:L,9,FALSE)</f>
        <v>29</v>
      </c>
      <c r="J9" s="24"/>
    </row>
    <row r="10" ht="18" customHeight="1">
      <c r="A10" s="10" t="n">
        <v>13</v>
      </c>
      <c r="C10" s="4" t="s">
        <f>VLOOKUP(A:A,'全量进度管理'!A:L,3,FALSE)</f>
        <v>47</v>
      </c>
      <c r="D10" s="4" t="s">
        <f>VLOOKUP(A:A,'全量进度管理'!A:L,4,FALSE)</f>
        <v>48</v>
      </c>
      <c r="E10" s="4" t="s">
        <f>VLOOKUP(A:A,'全量进度管理'!A:L,5,FALSE)</f>
        <v>49</v>
      </c>
      <c r="F10" s="4" t="s">
        <f>VLOOKUP(A:A,'全量进度管理'!A:L,6,FALSE)</f>
        <v>50</v>
      </c>
      <c r="G10" s="4" t="s">
        <f>VLOOKUP(A:A,'全量进度管理'!A:L,8,FALSE)</f>
        <v>51</v>
      </c>
      <c r="H10" s="4" t="s">
        <f>VLOOKUP(A:A,'全量进度管理'!A:L,9,FALSE)</f>
        <v>29</v>
      </c>
      <c r="J10" s="24"/>
    </row>
    <row r="11" ht="18" customHeight="1">
      <c r="A11" s="10" t="n">
        <v>14</v>
      </c>
      <c r="D11" s="4" t="s">
        <f>VLOOKUP(A:A,'全量进度管理'!A:L,4,FALSE)</f>
        <v>52</v>
      </c>
      <c r="E11" s="4" t="s">
        <f>VLOOKUP(A:A,'全量进度管理'!A:L,5,FALSE)</f>
        <v>53</v>
      </c>
      <c r="F11" s="4" t="s">
        <f>VLOOKUP(A:A,'全量进度管理'!A:L,6,FALSE)</f>
        <v>27</v>
      </c>
      <c r="G11" s="4" t="s">
        <f>VLOOKUP(A:A,'全量进度管理'!A:L,8,FALSE)</f>
        <v>54</v>
      </c>
      <c r="H11" s="4" t="s">
        <f>VLOOKUP(A:A,'全量进度管理'!A:L,9,FALSE)</f>
        <v>29</v>
      </c>
      <c r="J11" s="24"/>
    </row>
    <row r="12" ht="18" customHeight="1">
      <c r="A12" s="10" t="n">
        <v>15</v>
      </c>
      <c r="E12" s="4" t="s">
        <f>VLOOKUP(A:A,'全量进度管理'!A:L,5,FALSE)</f>
        <v>55</v>
      </c>
      <c r="F12" s="4" t="s">
        <f>VLOOKUP(A:A,'全量进度管理'!A:L,6,FALSE)</f>
        <v>41</v>
      </c>
      <c r="G12" s="4" t="s">
        <f>VLOOKUP(A:A,'全量进度管理'!A:L,8,FALSE)</f>
        <v>56</v>
      </c>
      <c r="H12" s="4" t="s">
        <f>VLOOKUP(A:A,'全量进度管理'!A:L,9,FALSE)</f>
        <v>16</v>
      </c>
      <c r="J12" s="24"/>
      <c r="K12" s="4" t="s">
        <f>VLOOKUP(A:A,'全量进度管理'!A:L,12,FALSE)</f>
        <v>22</v>
      </c>
    </row>
    <row r="13" ht="18" customHeight="1">
      <c r="A13" s="10" t="n">
        <v>16</v>
      </c>
      <c r="C13" s="4" t="s">
        <f>VLOOKUP(A:A,'全量进度管理'!A:L,3,FALSE)</f>
        <v>57</v>
      </c>
      <c r="D13" s="4" t="s">
        <f>VLOOKUP(A:A,'全量进度管理'!A:L,4,FALSE)</f>
        <v>58</v>
      </c>
      <c r="E13" s="4" t="s">
        <f>VLOOKUP(A:A,'全量进度管理'!A:L,5,FALSE)</f>
        <v>59</v>
      </c>
      <c r="F13" s="4" t="s">
        <f>VLOOKUP(A:A,'全量进度管理'!A:L,6,FALSE)</f>
        <v>27</v>
      </c>
      <c r="G13" s="4" t="s">
        <f>VLOOKUP(A:A,'全量进度管理'!A:L,8,FALSE)</f>
        <v>60</v>
      </c>
      <c r="H13" s="4" t="s">
        <f>VLOOKUP(A:A,'全量进度管理'!A:L,9,FALSE)</f>
        <v>29</v>
      </c>
      <c r="J13" s="24"/>
    </row>
    <row r="14" ht="18" customHeight="1">
      <c r="A14" s="10" t="n">
        <v>17</v>
      </c>
      <c r="D14" s="4" t="s">
        <f>VLOOKUP(A:A,'全量进度管理'!A:L,4,FALSE)</f>
        <v>61</v>
      </c>
      <c r="E14" s="4" t="s">
        <f>VLOOKUP(A:A,'全量进度管理'!A:L,5,FALSE)</f>
        <v>62</v>
      </c>
      <c r="F14" s="4" t="s">
        <f>VLOOKUP(A:A,'全量进度管理'!A:L,6,FALSE)</f>
        <v>41</v>
      </c>
      <c r="G14" s="4" t="s">
        <f>VLOOKUP(A:A,'全量进度管理'!A:L,8,FALSE)</f>
        <v>63</v>
      </c>
      <c r="H14" s="4" t="s">
        <f>VLOOKUP(A:A,'全量进度管理'!A:L,9,FALSE)</f>
        <v>29</v>
      </c>
      <c r="J14" s="24"/>
    </row>
    <row r="15" ht="18" customHeight="1">
      <c r="A15" s="10" t="n">
        <v>18</v>
      </c>
      <c r="D15" s="4" t="s">
        <f>VLOOKUP(A:A,'全量进度管理'!A:L,4,FALSE)</f>
        <v>64</v>
      </c>
      <c r="E15" s="4" t="s">
        <f>VLOOKUP(A:A,'全量进度管理'!A:L,5,FALSE)</f>
        <v>65</v>
      </c>
      <c r="F15" s="4" t="s">
        <f>VLOOKUP(A:A,'全量进度管理'!A:L,6,FALSE)</f>
        <v>14</v>
      </c>
      <c r="G15" s="4" t="s">
        <f>VLOOKUP(A:A,'全量进度管理'!A:L,8,FALSE)</f>
        <v>66</v>
      </c>
      <c r="H15" s="4" t="s">
        <f>VLOOKUP(A:A,'全量进度管理'!A:L,9,FALSE)</f>
        <v>16</v>
      </c>
      <c r="I15" s="4" t="s">
        <f>VLOOKUP(A:A,'全量进度管理'!A:L,10,FALSE)</f>
        <v>67</v>
      </c>
      <c r="J15" s="24"/>
      <c r="K15" s="4" t="s">
        <f>VLOOKUP(A:A,'全量进度管理'!A:L,12,FALSE)</f>
        <v>22</v>
      </c>
    </row>
    <row r="16" ht="18" customHeight="1">
      <c r="A16" s="10" t="n">
        <v>19</v>
      </c>
      <c r="E16" s="4" t="s">
        <f>VLOOKUP(A:A,'全量进度管理'!A:L,5,FALSE)</f>
        <v>68</v>
      </c>
      <c r="F16" s="4" t="s">
        <f>VLOOKUP(A:A,'全量进度管理'!A:L,6,FALSE)</f>
        <v>41</v>
      </c>
      <c r="G16" s="4" t="s">
        <f>VLOOKUP(A:A,'全量进度管理'!A:L,8,FALSE)</f>
        <v>20</v>
      </c>
      <c r="H16" s="4" t="s">
        <f>VLOOKUP(A:A,'全量进度管理'!A:L,9,FALSE)</f>
        <v>21</v>
      </c>
      <c r="I16" s="4" t="s">
        <f>VLOOKUP(A:A,'全量进度管理'!A:L,10,FALSE)</f>
        <v>69</v>
      </c>
      <c r="J16" s="24" t="n">
        <f>VLOOKUP(A:A,'全量进度管理'!A:L,11,FALSE)</f>
        <v>46265</v>
      </c>
      <c r="K16" s="4" t="s">
        <f>VLOOKUP(A:A,'全量进度管理'!A:L,12,FALSE)</f>
        <v>70</v>
      </c>
    </row>
    <row r="17" ht="18" customHeight="1">
      <c r="A17" s="10" t="n">
        <v>20</v>
      </c>
      <c r="E17" s="4" t="s">
        <f>VLOOKUP(A:A,'全量进度管理'!A:L,5,FALSE)</f>
        <v>71</v>
      </c>
      <c r="F17" s="4" t="s">
        <f>VLOOKUP(A:A,'全量进度管理'!A:L,6,FALSE)</f>
        <v>41</v>
      </c>
      <c r="G17" s="4" t="s">
        <f>VLOOKUP(A:A,'全量进度管理'!A:L,8,FALSE)</f>
        <v>20</v>
      </c>
      <c r="H17" s="4" t="s">
        <f>VLOOKUP(A:A,'全量进度管理'!A:L,9,FALSE)</f>
        <v>21</v>
      </c>
      <c r="J17" s="24"/>
    </row>
    <row r="18" ht="18" customHeight="1">
      <c r="A18" s="10" t="n">
        <v>21</v>
      </c>
      <c r="E18" s="4" t="s">
        <f>VLOOKUP(A:A,'全量进度管理'!A:L,5,FALSE)</f>
        <v>72</v>
      </c>
      <c r="F18" s="4" t="s">
        <f>VLOOKUP(A:A,'全量进度管理'!A:L,6,FALSE)</f>
        <v>41</v>
      </c>
      <c r="G18" s="4" t="s">
        <f>VLOOKUP(A:A,'全量进度管理'!A:L,8,FALSE)</f>
        <v>20</v>
      </c>
      <c r="H18" s="4" t="s">
        <f>VLOOKUP(A:A,'全量进度管理'!A:L,9,FALSE)</f>
        <v>21</v>
      </c>
      <c r="J18" s="24"/>
    </row>
    <row r="19" ht="18" customHeight="1">
      <c r="A19" s="10" t="n">
        <v>22</v>
      </c>
      <c r="D19" s="4" t="s">
        <f>VLOOKUP(A:A,'全量进度管理'!A:L,4,FALSE)</f>
        <v>73</v>
      </c>
      <c r="E19" s="4" t="s">
        <f>VLOOKUP(A:A,'全量进度管理'!A:L,5,FALSE)</f>
        <v>74</v>
      </c>
      <c r="F19" s="4" t="s">
        <f>VLOOKUP(A:A,'全量进度管理'!A:L,6,FALSE)</f>
        <v>14</v>
      </c>
      <c r="G19" s="4" t="s">
        <f>VLOOKUP(A:A,'全量进度管理'!A:L,8,FALSE)</f>
        <v>75</v>
      </c>
      <c r="H19" s="4" t="s">
        <f>VLOOKUP(A:A,'全量进度管理'!A:L,9,FALSE)</f>
        <v>29</v>
      </c>
      <c r="J19" s="24"/>
    </row>
    <row r="20" ht="18" customHeight="1">
      <c r="A20" s="10" t="n">
        <v>23</v>
      </c>
      <c r="C20" s="4" t="s">
        <f>VLOOKUP(A:A,'全量进度管理'!A:L,3,FALSE)</f>
        <v>76</v>
      </c>
      <c r="D20" s="4" t="s">
        <f>VLOOKUP(A:A,'全量进度管理'!A:L,4,FALSE)</f>
        <v>77</v>
      </c>
      <c r="E20" s="4" t="s">
        <f>VLOOKUP(A:A,'全量进度管理'!A:L,5,FALSE)</f>
        <v>78</v>
      </c>
      <c r="F20" s="4" t="s">
        <f>VLOOKUP(A:A,'全量进度管理'!A:L,6,FALSE)</f>
        <v>27</v>
      </c>
      <c r="G20" s="4" t="s">
        <f>VLOOKUP(A:A,'全量进度管理'!A:L,8,FALSE)</f>
        <v>79</v>
      </c>
      <c r="H20" s="4" t="s">
        <f>VLOOKUP(A:A,'全量进度管理'!A:L,9,FALSE)</f>
        <v>29</v>
      </c>
      <c r="J20" s="24"/>
    </row>
    <row r="21" ht="18" customHeight="1">
      <c r="A21" s="10" t="n">
        <v>24</v>
      </c>
      <c r="E21" s="4" t="s">
        <f>VLOOKUP(A:A,'全量进度管理'!A:L,5,FALSE)</f>
        <v>80</v>
      </c>
      <c r="F21" s="4" t="s">
        <f>VLOOKUP(A:A,'全量进度管理'!A:L,6,FALSE)</f>
        <v>27</v>
      </c>
      <c r="G21" s="4" t="s">
        <f>VLOOKUP(A:A,'全量进度管理'!A:L,8,FALSE)</f>
        <v>81</v>
      </c>
      <c r="H21" s="4" t="s">
        <f>VLOOKUP(A:A,'全量进度管理'!A:L,9,FALSE)</f>
        <v>16</v>
      </c>
      <c r="I21" s="4" t="s">
        <f>VLOOKUP(A:A,'全量进度管理'!A:L,10,FALSE)</f>
        <v>82</v>
      </c>
      <c r="J21" s="24"/>
      <c r="K21" s="4" t="s">
        <f>VLOOKUP(A:A,'全量进度管理'!A:L,12,FALSE)</f>
        <v>22</v>
      </c>
    </row>
    <row r="22" ht="18" customHeight="1">
      <c r="A22" s="10" t="n">
        <v>25</v>
      </c>
      <c r="E22" s="4" t="s">
        <f>VLOOKUP(A:A,'全量进度管理'!A:L,5,FALSE)</f>
        <v>83</v>
      </c>
      <c r="F22" s="4" t="s">
        <f>VLOOKUP(A:A,'全量进度管理'!A:L,6,FALSE)</f>
        <v>27</v>
      </c>
      <c r="G22" s="4" t="s">
        <f>VLOOKUP(A:A,'全量进度管理'!A:L,8,FALSE)</f>
        <v>84</v>
      </c>
      <c r="H22" s="4" t="s">
        <f>VLOOKUP(A:A,'全量进度管理'!A:L,9,FALSE)</f>
        <v>29</v>
      </c>
      <c r="I22" s="4" t="s">
        <f>VLOOKUP(A:A,'全量进度管理'!A:L,10,FALSE)</f>
        <v>85</v>
      </c>
      <c r="J22" s="24"/>
      <c r="K22" s="4" t="s">
        <f>VLOOKUP(A:A,'全量进度管理'!A:L,12,FALSE)</f>
        <v>22</v>
      </c>
    </row>
    <row r="23" ht="18" customHeight="1">
      <c r="A23" s="10" t="n">
        <v>26</v>
      </c>
      <c r="D23" s="4" t="s">
        <f>VLOOKUP(A:A,'全量进度管理'!A:L,4,FALSE)</f>
        <v>86</v>
      </c>
      <c r="E23" s="4" t="s">
        <f>VLOOKUP(A:A,'全量进度管理'!A:L,5,FALSE)</f>
        <v>87</v>
      </c>
      <c r="F23" s="4" t="s">
        <f>VLOOKUP(A:A,'全量进度管理'!A:L,6,FALSE)</f>
        <v>41</v>
      </c>
      <c r="G23" s="4" t="s">
        <f>VLOOKUP(A:A,'全量进度管理'!A:L,8,FALSE)</f>
        <v>88</v>
      </c>
      <c r="H23" s="4" t="s">
        <f>VLOOKUP(A:A,'全量进度管理'!A:L,9,FALSE)</f>
        <v>16</v>
      </c>
      <c r="I23" s="4" t="s">
        <f>VLOOKUP(A:A,'全量进度管理'!A:L,10,FALSE)</f>
        <v>89</v>
      </c>
      <c r="J23" s="24"/>
      <c r="K23" s="4" t="s">
        <f>VLOOKUP(A:A,'全量进度管理'!A:L,12,FALSE)</f>
        <v>22</v>
      </c>
    </row>
    <row r="24" ht="18" customHeight="1">
      <c r="A24" s="10" t="n">
        <v>27</v>
      </c>
      <c r="D24" s="4" t="s">
        <f>VLOOKUP(A:A,'全量进度管理'!A:L,4,FALSE)</f>
        <v>90</v>
      </c>
      <c r="E24" s="4" t="s">
        <f>VLOOKUP(A:A,'全量进度管理'!A:L,5,FALSE)</f>
        <v>91</v>
      </c>
      <c r="F24" s="4" t="s">
        <f>VLOOKUP(A:A,'全量进度管理'!A:L,6,FALSE)</f>
        <v>27</v>
      </c>
      <c r="G24" s="4" t="s">
        <f>VLOOKUP(A:A,'全量进度管理'!A:L,8,FALSE)</f>
        <v>92</v>
      </c>
      <c r="H24" s="4" t="s">
        <f>VLOOKUP(A:A,'全量进度管理'!A:L,9,FALSE)</f>
        <v>29</v>
      </c>
      <c r="J24" s="24"/>
    </row>
    <row r="25" ht="18" customHeight="1">
      <c r="A25" s="10" t="n">
        <v>28</v>
      </c>
      <c r="E25" s="4" t="s">
        <f>VLOOKUP(A:A,'全量进度管理'!A:L,5,FALSE)</f>
        <v>93</v>
      </c>
      <c r="F25" s="4" t="s">
        <f>VLOOKUP(A:A,'全量进度管理'!A:L,6,FALSE)</f>
        <v>27</v>
      </c>
      <c r="G25" s="4" t="s">
        <f>VLOOKUP(A:A,'全量进度管理'!A:L,8,FALSE)</f>
        <v>94</v>
      </c>
      <c r="H25" s="4" t="s">
        <f>VLOOKUP(A:A,'全量进度管理'!A:L,9,FALSE)</f>
        <v>29</v>
      </c>
      <c r="J25" s="24"/>
    </row>
    <row r="26" ht="18" customHeight="1">
      <c r="A26" s="10" t="n">
        <v>29</v>
      </c>
      <c r="D26" s="4" t="s">
        <f>VLOOKUP(A:A,'全量进度管理'!A:L,4,FALSE)</f>
        <v>95</v>
      </c>
      <c r="E26" s="4" t="s">
        <f>VLOOKUP(A:A,'全量进度管理'!A:L,5,FALSE)</f>
        <v>96</v>
      </c>
      <c r="F26" s="4" t="s">
        <f>VLOOKUP(A:A,'全量进度管理'!A:L,6,FALSE)</f>
        <v>14</v>
      </c>
      <c r="G26" s="4" t="s">
        <f>VLOOKUP(A:A,'全量进度管理'!A:L,8,FALSE)</f>
        <v>20</v>
      </c>
      <c r="H26" s="4" t="s">
        <f>VLOOKUP(A:A,'全量进度管理'!A:L,9,FALSE)</f>
        <v>21</v>
      </c>
      <c r="I26" s="4" t="s">
        <f>VLOOKUP(A:A,'全量进度管理'!A:L,10,FALSE)</f>
        <v>97</v>
      </c>
      <c r="J26" s="24" t="n">
        <f>VLOOKUP(A:A,'全量进度管理'!A:L,11,FALSE)</f>
        <v>46265</v>
      </c>
      <c r="K26" s="4" t="s">
        <f>VLOOKUP(A:A,'全量进度管理'!A:L,12,FALSE)</f>
        <v>70</v>
      </c>
    </row>
    <row r="27" ht="18" customHeight="1">
      <c r="A27" s="10" t="n">
        <v>30</v>
      </c>
      <c r="C27" s="4" t="s">
        <f>VLOOKUP(A:A,'全量进度管理'!A:L,3,FALSE)</f>
        <v>98</v>
      </c>
      <c r="D27" s="4" t="s">
        <f>VLOOKUP(A:A,'全量进度管理'!A:L,4,FALSE)</f>
        <v>99</v>
      </c>
      <c r="E27" s="4" t="s">
        <f>VLOOKUP(A:A,'全量进度管理'!A:L,5,FALSE)</f>
        <v>100</v>
      </c>
      <c r="F27" s="4" t="s">
        <f>VLOOKUP(A:A,'全量进度管理'!A:L,6,FALSE)</f>
        <v>27</v>
      </c>
      <c r="G27" s="4" t="s">
        <f>VLOOKUP(A:A,'全量进度管理'!A:L,8,FALSE)</f>
        <v>101</v>
      </c>
      <c r="H27" s="4" t="s">
        <f>VLOOKUP(A:A,'全量进度管理'!A:L,9,FALSE)</f>
        <v>29</v>
      </c>
      <c r="J27" s="24"/>
    </row>
    <row r="28" ht="18" customHeight="1">
      <c r="A28" s="10" t="n">
        <v>31</v>
      </c>
      <c r="E28" s="4" t="s">
        <f>VLOOKUP(A:A,'全量进度管理'!A:L,5,FALSE)</f>
        <v>102</v>
      </c>
      <c r="F28" s="4" t="s">
        <f>VLOOKUP(A:A,'全量进度管理'!A:L,6,FALSE)</f>
        <v>41</v>
      </c>
      <c r="G28" s="4" t="s">
        <f>VLOOKUP(A:A,'全量进度管理'!A:L,8,FALSE)</f>
        <v>103</v>
      </c>
      <c r="H28" s="4" t="s">
        <f>VLOOKUP(A:A,'全量进度管理'!A:L,9,FALSE)</f>
        <v>29</v>
      </c>
      <c r="J28" s="24"/>
    </row>
    <row r="29" ht="18" customHeight="1">
      <c r="A29" s="10" t="n">
        <v>33</v>
      </c>
      <c r="D29" s="4" t="s">
        <f>VLOOKUP(A:A,'全量进度管理'!A:L,4,FALSE)</f>
        <v>104</v>
      </c>
      <c r="E29" s="4" t="s">
        <f>VLOOKUP(A:A,'全量进度管理'!A:L,5,FALSE)</f>
        <v>105</v>
      </c>
      <c r="F29" s="4" t="s">
        <f>VLOOKUP(A:A,'全量进度管理'!A:L,6,FALSE)</f>
        <v>27</v>
      </c>
      <c r="G29" s="4" t="s">
        <f>VLOOKUP(A:A,'全量进度管理'!A:L,8,FALSE)</f>
        <v>106</v>
      </c>
      <c r="H29" s="4" t="s">
        <f>VLOOKUP(A:A,'全量进度管理'!A:L,9,FALSE)</f>
        <v>29</v>
      </c>
      <c r="J29" s="24"/>
    </row>
    <row r="30" ht="18" customHeight="1">
      <c r="A30" s="10" t="n">
        <v>34</v>
      </c>
      <c r="B30" s="4" t="s">
        <f>VLOOKUP(A:A,'全量进度管理'!A:L,2,FALSE)</f>
        <v>107</v>
      </c>
      <c r="C30" s="4" t="s">
        <f>VLOOKUP(A:A,'全量进度管理'!A:L,3,FALSE)</f>
        <v>38</v>
      </c>
      <c r="D30" s="4" t="s">
        <f>VLOOKUP(A:A,'全量进度管理'!A:L,4,FALSE)</f>
        <v>108</v>
      </c>
      <c r="E30" s="4" t="s">
        <f>VLOOKUP(A:A,'全量进度管理'!A:L,5,FALSE)</f>
        <v>109</v>
      </c>
      <c r="F30" s="4" t="s">
        <f>VLOOKUP(A:A,'全量进度管理'!A:L,6,FALSE)</f>
        <v>27</v>
      </c>
      <c r="G30" s="4" t="s">
        <f>VLOOKUP(A:A,'全量进度管理'!A:L,8,FALSE)</f>
        <v>110</v>
      </c>
      <c r="H30" s="4" t="s">
        <f>VLOOKUP(A:A,'全量进度管理'!A:L,9,FALSE)</f>
        <v>16</v>
      </c>
      <c r="I30" s="4" t="s">
        <f>VLOOKUP(A:A,'全量进度管理'!A:L,10,FALSE)</f>
        <v>111</v>
      </c>
      <c r="J30" s="24"/>
      <c r="K30" s="4" t="s">
        <f>VLOOKUP(A:A,'全量进度管理'!A:L,12,FALSE)</f>
        <v>22</v>
      </c>
    </row>
    <row r="31" ht="18" customHeight="1">
      <c r="A31" s="10" t="n">
        <v>35</v>
      </c>
      <c r="C31" s="4" t="s">
        <f>VLOOKUP(A:A,'全量进度管理'!A:L,3,FALSE)</f>
        <v>47</v>
      </c>
      <c r="D31" s="4" t="s">
        <f>VLOOKUP(A:A,'全量进度管理'!A:L,4,FALSE)</f>
        <v>52</v>
      </c>
      <c r="E31" s="4" t="s">
        <f>VLOOKUP(A:A,'全量进度管理'!A:L,5,FALSE)</f>
        <v>53</v>
      </c>
      <c r="F31" s="4" t="s">
        <f>VLOOKUP(A:A,'全量进度管理'!A:L,6,FALSE)</f>
        <v>27</v>
      </c>
      <c r="G31" s="4" t="s">
        <f>VLOOKUP(A:A,'全量进度管理'!A:L,8,FALSE)</f>
        <v>54</v>
      </c>
      <c r="H31" s="4" t="s">
        <f>VLOOKUP(A:A,'全量进度管理'!A:L,9,FALSE)</f>
        <v>29</v>
      </c>
      <c r="J31" s="24"/>
    </row>
    <row r="32" ht="18" customHeight="1">
      <c r="A32" s="10" t="n">
        <v>36</v>
      </c>
      <c r="C32" s="4" t="s">
        <f>VLOOKUP(A:A,'全量进度管理'!A:L,3,FALSE)</f>
        <v>57</v>
      </c>
      <c r="D32" s="4" t="s">
        <f>VLOOKUP(A:A,'全量进度管理'!A:L,4,FALSE)</f>
        <v>61</v>
      </c>
      <c r="E32" s="4" t="s">
        <f>VLOOKUP(A:A,'全量进度管理'!A:L,5,FALSE)</f>
        <v>62</v>
      </c>
      <c r="F32" s="4" t="s">
        <f>VLOOKUP(A:A,'全量进度管理'!A:L,6,FALSE)</f>
        <v>41</v>
      </c>
      <c r="G32" s="4" t="s">
        <f>VLOOKUP(A:A,'全量进度管理'!A:L,8,FALSE)</f>
        <v>20</v>
      </c>
      <c r="H32" s="4" t="s">
        <f>VLOOKUP(A:A,'全量进度管理'!A:L,9,FALSE)</f>
        <v>21</v>
      </c>
      <c r="I32" s="4" t="s">
        <f>VLOOKUP(A:A,'全量进度管理'!A:L,10,FALSE)</f>
        <v>63</v>
      </c>
      <c r="J32" s="24" t="n">
        <f>VLOOKUP(A:A,'全量进度管理'!A:L,11,FALSE)</f>
        <v>46203</v>
      </c>
      <c r="K32" s="4" t="s">
        <f>VLOOKUP(A:A,'全量进度管理'!A:L,12,FALSE)</f>
        <v>18</v>
      </c>
    </row>
    <row r="33" ht="27.75" customHeight="1">
      <c r="A33" s="10" t="n">
        <v>37</v>
      </c>
      <c r="D33" s="4" t="s">
        <f>VLOOKUP(A:A,'全量进度管理'!A:L,4,FALSE)</f>
        <v>58</v>
      </c>
      <c r="E33" s="4" t="s">
        <f>VLOOKUP(A:A,'全量进度管理'!A:L,5,FALSE)</f>
        <v>58</v>
      </c>
      <c r="F33" s="4" t="s">
        <f>VLOOKUP(A:A,'全量进度管理'!A:L,6,FALSE)</f>
        <v>41</v>
      </c>
      <c r="G33" s="4" t="s">
        <f>VLOOKUP(A:A,'全量进度管理'!A:L,8,FALSE)</f>
        <v>112</v>
      </c>
      <c r="H33" s="4" t="s">
        <f>VLOOKUP(A:A,'全量进度管理'!A:L,9,FALSE)</f>
        <v>16</v>
      </c>
      <c r="I33" s="3" t="s">
        <f>VLOOKUP(A:A,'全量进度管理'!A:L,10,FALSE)</f>
        <v>113</v>
      </c>
      <c r="J33" s="24"/>
    </row>
    <row r="34" ht="18" customHeight="1">
      <c r="A34" s="10" t="n">
        <v>38</v>
      </c>
      <c r="D34" s="4" t="s">
        <f>VLOOKUP(A:A,'全量进度管理'!A:L,4,FALSE)</f>
        <v>64</v>
      </c>
      <c r="E34" s="4" t="s">
        <f>VLOOKUP(A:A,'全量进度管理'!A:L,5,FALSE)</f>
        <v>68</v>
      </c>
      <c r="F34" s="4" t="s">
        <f>VLOOKUP(A:A,'全量进度管理'!A:L,6,FALSE)</f>
        <v>41</v>
      </c>
      <c r="G34" s="4" t="s">
        <f>VLOOKUP(A:A,'全量进度管理'!A:L,8,FALSE)</f>
        <v>20</v>
      </c>
      <c r="H34" s="4" t="s">
        <f>VLOOKUP(A:A,'全量进度管理'!A:L,9,FALSE)</f>
        <v>21</v>
      </c>
      <c r="I34" s="4" t="s">
        <f>VLOOKUP(A:A,'全量进度管理'!A:L,10,FALSE)</f>
        <v>69</v>
      </c>
      <c r="J34" s="24" t="n">
        <f>VLOOKUP(A:A,'全量进度管理'!A:L,11,FALSE)</f>
        <v>46265</v>
      </c>
      <c r="K34" s="4" t="s">
        <f>VLOOKUP(A:A,'全量进度管理'!A:L,12,FALSE)</f>
        <v>70</v>
      </c>
    </row>
    <row r="35" ht="18" customHeight="1">
      <c r="A35" s="10" t="n">
        <v>39</v>
      </c>
      <c r="E35" s="4" t="s">
        <f>VLOOKUP(A:A,'全量进度管理'!A:L,5,FALSE)</f>
        <v>71</v>
      </c>
      <c r="F35" s="4" t="s">
        <f>VLOOKUP(A:A,'全量进度管理'!A:L,6,FALSE)</f>
        <v>14</v>
      </c>
      <c r="G35" s="4" t="s">
        <f>VLOOKUP(A:A,'全量进度管理'!A:L,8,FALSE)</f>
        <v>20</v>
      </c>
      <c r="H35" s="4" t="s">
        <f>VLOOKUP(A:A,'全量进度管理'!A:L,9,FALSE)</f>
        <v>21</v>
      </c>
      <c r="J35" s="24"/>
    </row>
    <row r="36" ht="18" customHeight="1">
      <c r="A36" s="10" t="n">
        <v>40</v>
      </c>
      <c r="E36" s="4" t="s">
        <f>VLOOKUP(A:A,'全量进度管理'!A:L,5,FALSE)</f>
        <v>72</v>
      </c>
      <c r="F36" s="4" t="s">
        <f>VLOOKUP(A:A,'全量进度管理'!A:L,6,FALSE)</f>
        <v>50</v>
      </c>
      <c r="G36" s="4" t="s">
        <f>VLOOKUP(A:A,'全量进度管理'!A:L,8,FALSE)</f>
        <v>20</v>
      </c>
      <c r="H36" s="4" t="s">
        <f>VLOOKUP(A:A,'全量进度管理'!A:L,9,FALSE)</f>
        <v>21</v>
      </c>
      <c r="J36" s="24"/>
    </row>
    <row r="37" ht="18" customHeight="1">
      <c r="A37" s="10" t="n">
        <v>41</v>
      </c>
      <c r="C37" s="4" t="s">
        <f>VLOOKUP(A:A,'全量进度管理'!A:L,3,FALSE)</f>
        <v>76</v>
      </c>
      <c r="D37" s="4" t="s">
        <f>VLOOKUP(A:A,'全量进度管理'!A:L,4,FALSE)</f>
        <v>114</v>
      </c>
      <c r="E37" s="4" t="s">
        <f>VLOOKUP(A:A,'全量进度管理'!A:L,5,FALSE)</f>
        <v>115</v>
      </c>
      <c r="F37" s="4" t="s">
        <f>VLOOKUP(A:A,'全量进度管理'!A:L,6,FALSE)</f>
        <v>27</v>
      </c>
      <c r="G37" s="4" t="s">
        <f>VLOOKUP(A:A,'全量进度管理'!A:L,8,FALSE)</f>
        <v>116</v>
      </c>
      <c r="H37" s="4" t="s">
        <f>VLOOKUP(A:A,'全量进度管理'!A:L,9,FALSE)</f>
        <v>29</v>
      </c>
      <c r="J37" s="24"/>
    </row>
    <row r="38" ht="18" customHeight="1">
      <c r="A38" s="10" t="n">
        <v>42</v>
      </c>
      <c r="E38" s="4" t="s">
        <f>VLOOKUP(A:A,'全量进度管理'!A:L,5,FALSE)</f>
        <v>117</v>
      </c>
      <c r="F38" s="4" t="s">
        <f>VLOOKUP(A:A,'全量进度管理'!A:L,6,FALSE)</f>
        <v>27</v>
      </c>
      <c r="G38" s="4" t="s">
        <f>VLOOKUP(A:A,'全量进度管理'!A:L,8,FALSE)</f>
        <v>20</v>
      </c>
      <c r="H38" s="4" t="s">
        <f>VLOOKUP(A:A,'全量进度管理'!A:L,9,FALSE)</f>
        <v>21</v>
      </c>
      <c r="I38" s="4" t="s">
        <f>VLOOKUP(A:A,'全量进度管理'!A:L,10,FALSE)</f>
        <v>118</v>
      </c>
      <c r="J38" s="24" t="n">
        <f>VLOOKUP(A:A,'全量进度管理'!A:L,11,FALSE)</f>
        <v>46265</v>
      </c>
      <c r="K38" s="4" t="s">
        <f>VLOOKUP(A:A,'全量进度管理'!A:L,12,FALSE)</f>
        <v>70</v>
      </c>
    </row>
    <row r="39" ht="18" customHeight="1">
      <c r="A39" s="10" t="n">
        <v>43</v>
      </c>
      <c r="D39" s="4" t="s">
        <f>VLOOKUP(A:A,'全量进度管理'!A:L,4,FALSE)</f>
        <v>119</v>
      </c>
      <c r="E39" s="4" t="s">
        <f>VLOOKUP(A:A,'全量进度管理'!A:L,5,FALSE)</f>
        <v>120</v>
      </c>
      <c r="F39" s="4" t="s">
        <f>VLOOKUP(A:A,'全量进度管理'!A:L,6,FALSE)</f>
        <v>41</v>
      </c>
      <c r="G39" s="4" t="s">
        <f>VLOOKUP(A:A,'全量进度管理'!A:L,8,FALSE)</f>
        <v>20</v>
      </c>
      <c r="H39" s="4" t="s">
        <f>VLOOKUP(A:A,'全量进度管理'!A:L,9,FALSE)</f>
        <v>21</v>
      </c>
      <c r="I39" s="4" t="s">
        <f>VLOOKUP(A:A,'全量进度管理'!A:L,10,FALSE)</f>
        <v>121</v>
      </c>
      <c r="J39" s="24" t="n">
        <f>VLOOKUP(A:A,'全量进度管理'!A:L,11,FALSE)</f>
        <v>46234</v>
      </c>
      <c r="K39" s="4" t="s">
        <f>VLOOKUP(A:A,'全量进度管理'!A:L,12,FALSE)</f>
        <v>18</v>
      </c>
    </row>
    <row r="40" ht="18" customHeight="1">
      <c r="A40" s="10" t="n">
        <v>44</v>
      </c>
      <c r="D40" s="4" t="s">
        <f>VLOOKUP(A:A,'全量进度管理'!A:L,4,FALSE)</f>
        <v>122</v>
      </c>
      <c r="E40" s="4" t="s">
        <f>VLOOKUP(A:A,'全量进度管理'!A:L,5,FALSE)</f>
        <v>115</v>
      </c>
      <c r="F40" s="4" t="s">
        <f>VLOOKUP(A:A,'全量进度管理'!A:L,6,FALSE)</f>
        <v>27</v>
      </c>
      <c r="G40" s="4" t="s">
        <f>VLOOKUP(A:A,'全量进度管理'!A:L,8,FALSE)</f>
        <v>116</v>
      </c>
      <c r="H40" s="4" t="s">
        <f>VLOOKUP(A:A,'全量进度管理'!A:L,9,FALSE)</f>
        <v>29</v>
      </c>
      <c r="J40" s="24"/>
    </row>
    <row r="41" ht="18" customHeight="1">
      <c r="A41" s="10" t="n">
        <v>45</v>
      </c>
      <c r="E41" s="4" t="s">
        <f>VLOOKUP(A:A,'全量进度管理'!A:L,5,FALSE)</f>
        <v>117</v>
      </c>
      <c r="F41" s="4" t="s">
        <f>VLOOKUP(A:A,'全量进度管理'!A:L,6,FALSE)</f>
        <v>27</v>
      </c>
      <c r="G41" s="4" t="s">
        <f>VLOOKUP(A:A,'全量进度管理'!A:L,8,FALSE)</f>
        <v>20</v>
      </c>
      <c r="H41" s="4" t="s">
        <f>VLOOKUP(A:A,'全量进度管理'!A:L,9,FALSE)</f>
        <v>21</v>
      </c>
      <c r="I41" s="4" t="s">
        <f>VLOOKUP(A:A,'全量进度管理'!A:L,10,FALSE)</f>
        <v>123</v>
      </c>
      <c r="J41" s="24"/>
      <c r="K41" s="4" t="s">
        <f>VLOOKUP(A:A,'全量进度管理'!A:L,12,FALSE)</f>
        <v>22</v>
      </c>
    </row>
    <row r="42" ht="18" customHeight="1">
      <c r="A42" s="10" t="n">
        <v>46</v>
      </c>
      <c r="C42" s="4" t="s">
        <f>VLOOKUP(A:A,'全量进度管理'!A:L,3,FALSE)</f>
        <v>98</v>
      </c>
      <c r="D42" s="4" t="s">
        <f>VLOOKUP(A:A,'全量进度管理'!A:L,4,FALSE)</f>
        <v>124</v>
      </c>
      <c r="E42" s="4" t="s">
        <f>VLOOKUP(A:A,'全量进度管理'!A:L,5,FALSE)</f>
        <v>125</v>
      </c>
      <c r="F42" s="4" t="s">
        <f>VLOOKUP(A:A,'全量进度管理'!A:L,6,FALSE)</f>
        <v>27</v>
      </c>
      <c r="G42" s="4" t="s">
        <f>VLOOKUP(A:A,'全量进度管理'!A:L,8,FALSE)</f>
        <v>125</v>
      </c>
      <c r="H42" s="4" t="s">
        <f>VLOOKUP(A:A,'全量进度管理'!A:L,9,FALSE)</f>
        <v>29</v>
      </c>
      <c r="J42" s="24"/>
    </row>
    <row r="43" ht="18" customHeight="1">
      <c r="A43" s="10" t="n">
        <v>47</v>
      </c>
      <c r="E43" s="4" t="s">
        <f>VLOOKUP(A:A,'全量进度管理'!A:L,5,FALSE)</f>
        <v>126</v>
      </c>
      <c r="F43" s="4" t="s">
        <f>VLOOKUP(A:A,'全量进度管理'!A:L,6,FALSE)</f>
        <v>27</v>
      </c>
      <c r="G43" s="4" t="s">
        <f>VLOOKUP(A:A,'全量进度管理'!A:L,8,FALSE)</f>
        <v>126</v>
      </c>
      <c r="H43" s="4" t="s">
        <f>VLOOKUP(A:A,'全量进度管理'!A:L,9,FALSE)</f>
        <v>29</v>
      </c>
      <c r="J43" s="24"/>
    </row>
    <row r="44" ht="18" customHeight="1">
      <c r="A44" s="10" t="n">
        <v>63</v>
      </c>
      <c r="B44" s="4" t="s">
        <f>VLOOKUP(A:A,'全量进度管理'!A:L,2,FALSE)</f>
        <v>127</v>
      </c>
      <c r="C44" s="4" t="s">
        <f>VLOOKUP(A:A,'全量进度管理'!A:L,3,FALSE)</f>
        <v>128</v>
      </c>
      <c r="D44" s="4" t="s">
        <f>VLOOKUP(A:A,'全量进度管理'!A:L,4,FALSE)</f>
        <v>129</v>
      </c>
      <c r="E44" s="4" t="s">
        <f>VLOOKUP(A:A,'全量进度管理'!A:L,5,FALSE)</f>
        <v>130</v>
      </c>
      <c r="F44" s="4" t="s">
        <v>41</v>
      </c>
      <c r="G44" s="4" t="s">
        <f>VLOOKUP(A:A,'全量进度管理'!A:L,8,FALSE)</f>
        <v>131</v>
      </c>
      <c r="H44" s="4" t="s">
        <f>VLOOKUP(A:A,'全量进度管理'!A:L,9,FALSE)</f>
        <v>16</v>
      </c>
      <c r="I44" s="4" t="s">
        <f>VLOOKUP(A:A,'全量进度管理'!A:L,10,FALSE)</f>
        <v>132</v>
      </c>
      <c r="J44" s="24"/>
      <c r="K44" s="4" t="s">
        <f>VLOOKUP(A:A,'全量进度管理'!A:L,12,FALSE)</f>
        <v>22</v>
      </c>
    </row>
    <row r="45" ht="18" customHeight="1">
      <c r="A45" s="10" t="n">
        <v>64</v>
      </c>
      <c r="E45" s="4" t="s">
        <f>VLOOKUP(A:A,'全量进度管理'!A:L,5,FALSE)</f>
        <v>133</v>
      </c>
      <c r="F45" s="4" t="s">
        <v>41</v>
      </c>
      <c r="G45" s="4" t="s">
        <f>VLOOKUP(A:A,'全量进度管理'!A:L,8,FALSE)</f>
        <v>20</v>
      </c>
      <c r="H45" s="4" t="s">
        <f>VLOOKUP(A:A,'全量进度管理'!A:L,9,FALSE)</f>
        <v>21</v>
      </c>
      <c r="J45" s="24"/>
      <c r="K45" s="4" t="s">
        <f>VLOOKUP(A:A,'全量进度管理'!A:L,12,FALSE)</f>
        <v>22</v>
      </c>
    </row>
    <row r="46" ht="16.5" customHeight="1">
      <c r="J46" s="24"/>
    </row>
    <row r="47" ht="16.5" customHeight="1">
      <c r="J47" s="24"/>
    </row>
    <row r="48" ht="16.5" customHeight="1">
      <c r="J48" s="24"/>
    </row>
    <row r="49" ht="16.5" customHeight="1">
      <c r="J49" s="24"/>
    </row>
    <row r="50" ht="16.5" customHeight="1">
      <c r="J50" s="24"/>
    </row>
    <row r="51" ht="16.5" customHeight="1">
      <c r="J51" s="24"/>
    </row>
    <row r="52" ht="16.5" customHeight="1">
      <c r="J52" s="24"/>
    </row>
    <row r="53" ht="16.5" customHeight="1">
      <c r="J53" s="24"/>
    </row>
    <row r="54" ht="16.5" customHeight="1">
      <c r="J54" s="24"/>
    </row>
    <row r="55" ht="16.5" customHeight="1">
      <c r="J55" s="24"/>
    </row>
    <row r="56" ht="16.5" customHeight="1">
      <c r="J56" s="24"/>
    </row>
    <row r="57" ht="16.5" customHeight="1">
      <c r="J57" s="24"/>
    </row>
    <row r="58" ht="16.5" customHeight="1">
      <c r="J58" s="24"/>
    </row>
    <row r="59" ht="16.5" customHeight="1">
      <c r="J59" s="24"/>
    </row>
    <row r="60" ht="16.5" customHeight="1">
      <c r="J60" s="24"/>
    </row>
    <row r="61" ht="16.5" customHeight="1">
      <c r="J61" s="24"/>
    </row>
    <row r="62" ht="16.5" customHeight="1">
      <c r="J62" s="24"/>
    </row>
    <row r="63" ht="16.5" customHeight="1">
      <c r="J63" s="24"/>
    </row>
    <row r="64" ht="16.5" customHeight="1">
      <c r="J64" s="24"/>
    </row>
    <row r="65" ht="16.5" customHeight="1">
      <c r="J65" s="24"/>
    </row>
    <row r="66" ht="16.5" customHeight="1">
      <c r="J66" s="24"/>
    </row>
    <row r="67" ht="16.5" customHeight="1">
      <c r="J67" s="24"/>
    </row>
    <row r="68" ht="16.5" customHeight="1">
      <c r="J68" s="24"/>
    </row>
    <row r="69" ht="16.5" customHeight="1">
      <c r="J69" s="24"/>
    </row>
    <row r="70" ht="16.5" customHeight="1">
      <c r="J70" s="24"/>
    </row>
    <row r="71" ht="16.5" customHeight="1">
      <c r="J71" s="24"/>
    </row>
    <row r="72" ht="16.5" customHeight="1">
      <c r="J72" s="24"/>
    </row>
    <row r="73" ht="16.5" customHeight="1">
      <c r="J73" s="24"/>
    </row>
    <row r="74" ht="16.5" customHeight="1">
      <c r="J74" s="24"/>
    </row>
    <row r="75" ht="16.5" customHeight="1">
      <c r="J75" s="24"/>
    </row>
    <row r="76" ht="16.5" customHeight="1">
      <c r="J76" s="24"/>
    </row>
    <row r="77" ht="16.5" customHeight="1">
      <c r="J77" s="24"/>
    </row>
    <row r="78" ht="16.5" customHeight="1">
      <c r="J78" s="24"/>
    </row>
    <row r="79" ht="16.5" customHeight="1">
      <c r="J79" s="24"/>
    </row>
    <row r="80" ht="16.5" customHeight="1">
      <c r="J80" s="24"/>
    </row>
    <row r="81" ht="16.5" customHeight="1">
      <c r="J81" s="24"/>
    </row>
    <row r="82" ht="16.5" customHeight="1">
      <c r="J82" s="24"/>
    </row>
    <row r="83" ht="16.5" customHeight="1">
      <c r="J83" s="24"/>
    </row>
    <row r="84" ht="16.5" customHeight="1">
      <c r="J84" s="24"/>
    </row>
    <row r="85" ht="16.5" customHeight="1">
      <c r="J85" s="24"/>
    </row>
    <row r="86" ht="16.5" customHeight="1">
      <c r="J86" s="24"/>
    </row>
    <row r="87" ht="16.5" customHeight="1">
      <c r="J87" s="24"/>
    </row>
    <row r="88" ht="16.5" customHeight="1">
      <c r="J88" s="24"/>
    </row>
    <row r="89" ht="16.5" customHeight="1">
      <c r="J89" s="24"/>
    </row>
    <row r="90" ht="16.5" customHeight="1">
      <c r="J90" s="24"/>
    </row>
    <row r="91" ht="16.5" customHeight="1">
      <c r="J91" s="24"/>
    </row>
    <row r="92" ht="16.5" customHeight="1">
      <c r="J92" s="24"/>
    </row>
    <row r="93" ht="16.5" customHeight="1">
      <c r="J93" s="24"/>
    </row>
    <row r="94" ht="16.5" customHeight="1">
      <c r="J94" s="24"/>
    </row>
    <row r="95" ht="16.5" customHeight="1">
      <c r="J95" s="24"/>
    </row>
    <row r="96" ht="16.5" customHeight="1">
      <c r="J96" s="24"/>
    </row>
    <row r="97" ht="16.5" customHeight="1">
      <c r="J97" s="24"/>
    </row>
    <row r="98" ht="16.5" customHeight="1">
      <c r="J98" s="24"/>
    </row>
    <row r="99" ht="16.5" customHeight="1">
      <c r="J99" s="24"/>
    </row>
    <row r="100" ht="16.5" customHeight="1">
      <c r="J100" s="24"/>
    </row>
    <row r="101" ht="16.5" customHeight="1">
      <c r="J101" s="24"/>
    </row>
    <row r="102" ht="16.5" customHeight="1">
      <c r="J102" s="24"/>
    </row>
    <row r="103" ht="16.5" customHeight="1">
      <c r="J103" s="24"/>
    </row>
    <row r="104" ht="16.5" customHeight="1">
      <c r="J104" s="24"/>
    </row>
    <row r="105" ht="16.5" customHeight="1">
      <c r="J105" s="24"/>
    </row>
    <row r="106" ht="16.5" customHeight="1">
      <c r="J106" s="24"/>
    </row>
    <row r="107" ht="16.5" customHeight="1">
      <c r="J107" s="24"/>
    </row>
    <row r="108" ht="16.5" customHeight="1">
      <c r="J108" s="24"/>
    </row>
    <row r="109" ht="16.5" customHeight="1">
      <c r="J109" s="24"/>
    </row>
    <row r="110" ht="16.5" customHeight="1">
      <c r="J110" s="24"/>
    </row>
    <row r="111" ht="16.5" customHeight="1">
      <c r="J111" s="24"/>
    </row>
    <row r="112" ht="16.5" customHeight="1">
      <c r="J112" s="24"/>
    </row>
    <row r="113" ht="16.5" customHeight="1">
      <c r="J113" s="24"/>
    </row>
    <row r="114" ht="16.5" customHeight="1">
      <c r="J114" s="24"/>
    </row>
    <row r="115" ht="16.5" customHeight="1">
      <c r="J115" s="24"/>
    </row>
    <row r="116" ht="16.5" customHeight="1">
      <c r="J116" s="24"/>
    </row>
    <row r="117" ht="16.5" customHeight="1">
      <c r="J117" s="24"/>
    </row>
    <row r="118" ht="16.5" customHeight="1">
      <c r="J118" s="24"/>
    </row>
    <row r="119" ht="16.5" customHeight="1">
      <c r="J119" s="24"/>
    </row>
    <row r="120" ht="16.5" customHeight="1">
      <c r="J120" s="24"/>
    </row>
    <row r="121" ht="16.5" customHeight="1">
      <c r="J121" s="24"/>
    </row>
    <row r="122" ht="16.5" customHeight="1">
      <c r="J122" s="24"/>
    </row>
    <row r="123" ht="16.5" customHeight="1">
      <c r="J123" s="24"/>
    </row>
    <row r="124" ht="16.5" customHeight="1">
      <c r="J124" s="24"/>
    </row>
    <row r="125" ht="16.5" customHeight="1">
      <c r="J125" s="24"/>
    </row>
    <row r="126" ht="16.5" customHeight="1">
      <c r="J126" s="24"/>
    </row>
    <row r="127" ht="16.5" customHeight="1">
      <c r="J127" s="24"/>
    </row>
    <row r="128" ht="16.5" customHeight="1">
      <c r="J128" s="24"/>
    </row>
    <row r="129" ht="16.5" customHeight="1">
      <c r="J129" s="24"/>
    </row>
    <row r="130" ht="16.5" customHeight="1">
      <c r="J130" s="24"/>
    </row>
    <row r="131" ht="16.5" customHeight="1">
      <c r="J131" s="24"/>
    </row>
    <row r="132" ht="16.5" customHeight="1">
      <c r="J132" s="24"/>
    </row>
    <row r="133" ht="16.5" customHeight="1">
      <c r="J133" s="24"/>
    </row>
    <row r="134" ht="16.5" customHeight="1">
      <c r="J134" s="24"/>
    </row>
    <row r="135" ht="16.5" customHeight="1">
      <c r="J135" s="24"/>
    </row>
    <row r="136" ht="16.5" customHeight="1">
      <c r="J136" s="24"/>
    </row>
    <row r="137" ht="16.5" customHeight="1">
      <c r="J137" s="24"/>
    </row>
    <row r="138" ht="16.5" customHeight="1">
      <c r="J138" s="24"/>
    </row>
    <row r="139" ht="16.5" customHeight="1">
      <c r="J139" s="24"/>
    </row>
    <row r="140" ht="16.5" customHeight="1">
      <c r="J140" s="24"/>
    </row>
    <row r="141" ht="16.5" customHeight="1">
      <c r="J141" s="24"/>
    </row>
    <row r="142" ht="16.5" customHeight="1">
      <c r="J142" s="24"/>
    </row>
    <row r="143" ht="16.5" customHeight="1">
      <c r="J143" s="24"/>
    </row>
    <row r="144" ht="16.5" customHeight="1">
      <c r="J144" s="24"/>
    </row>
    <row r="145" ht="16.5" customHeight="1">
      <c r="J145" s="24"/>
    </row>
    <row r="146" ht="16.5" customHeight="1">
      <c r="J146" s="24"/>
    </row>
    <row r="147" ht="16.5" customHeight="1">
      <c r="J147" s="24"/>
    </row>
    <row r="148" ht="16.5" customHeight="1">
      <c r="J148" s="24"/>
    </row>
    <row r="149" ht="16.5" customHeight="1">
      <c r="J149" s="24"/>
    </row>
    <row r="150" ht="16.5" customHeight="1">
      <c r="J150" s="24"/>
    </row>
    <row r="151" ht="16.5" customHeight="1">
      <c r="J151" s="24"/>
    </row>
    <row r="152" ht="16.5" customHeight="1">
      <c r="J152" s="24"/>
    </row>
    <row r="153" ht="16.5" customHeight="1">
      <c r="J153" s="24"/>
    </row>
    <row r="154" ht="16.5" customHeight="1">
      <c r="J154" s="24"/>
    </row>
    <row r="155" ht="16.5" customHeight="1">
      <c r="J155" s="24"/>
    </row>
    <row r="156" ht="16.5" customHeight="1">
      <c r="J156" s="24"/>
    </row>
    <row r="157" ht="16.5" customHeight="1">
      <c r="J157" s="24"/>
    </row>
    <row r="158" ht="16.5" customHeight="1">
      <c r="J158" s="24"/>
    </row>
    <row r="159" ht="16.5" customHeight="1">
      <c r="J159" s="24"/>
    </row>
    <row r="160" ht="16.5" customHeight="1">
      <c r="J160" s="24"/>
    </row>
    <row r="161" ht="16.5" customHeight="1">
      <c r="J161" s="24"/>
    </row>
    <row r="162" ht="16.5" customHeight="1">
      <c r="J162" s="24"/>
    </row>
    <row r="163" ht="16.5" customHeight="1">
      <c r="J163" s="24"/>
    </row>
    <row r="164" ht="16.5" customHeight="1">
      <c r="J164" s="24"/>
    </row>
    <row r="165" ht="16.5" customHeight="1">
      <c r="J165" s="24"/>
    </row>
    <row r="166" ht="16.5" customHeight="1">
      <c r="J166" s="24"/>
    </row>
    <row r="167" ht="16.5" customHeight="1">
      <c r="J167" s="24"/>
    </row>
    <row r="168" ht="16.5" customHeight="1">
      <c r="J168" s="24"/>
    </row>
    <row r="169" ht="16.5" customHeight="1">
      <c r="J169" s="24"/>
    </row>
    <row r="170" ht="16.5" customHeight="1">
      <c r="J170" s="24"/>
    </row>
    <row r="171" ht="16.5" customHeight="1">
      <c r="J171" s="24"/>
    </row>
    <row r="172" ht="16.5" customHeight="1">
      <c r="J172" s="24"/>
    </row>
    <row r="173" ht="16.5" customHeight="1">
      <c r="J173" s="24"/>
    </row>
    <row r="174" ht="16.5" customHeight="1">
      <c r="J174" s="24"/>
    </row>
    <row r="175" ht="16.5" customHeight="1">
      <c r="J175" s="24"/>
    </row>
    <row r="176" ht="16.5" customHeight="1">
      <c r="J176" s="24"/>
    </row>
    <row r="177" ht="16.5" customHeight="1">
      <c r="J177" s="24"/>
    </row>
    <row r="178" ht="16.5" customHeight="1">
      <c r="J178" s="24"/>
    </row>
    <row r="179" ht="16.5" customHeight="1">
      <c r="J179" s="24"/>
    </row>
    <row r="180" ht="16.5" customHeight="1">
      <c r="J180" s="24"/>
    </row>
    <row r="181" ht="16.5" customHeight="1">
      <c r="J181" s="24"/>
    </row>
    <row r="182" ht="16.5" customHeight="1">
      <c r="J182" s="24"/>
    </row>
    <row r="183" ht="16.5" customHeight="1">
      <c r="J183" s="24"/>
    </row>
    <row r="184" ht="16.5" customHeight="1">
      <c r="J184" s="24"/>
    </row>
    <row r="185" ht="16.5" customHeight="1">
      <c r="J185" s="24"/>
    </row>
    <row r="186" ht="16.5" customHeight="1">
      <c r="J186" s="24"/>
    </row>
    <row r="187" ht="16.5" customHeight="1">
      <c r="J187" s="24"/>
    </row>
    <row r="188" ht="16.5" customHeight="1">
      <c r="J188" s="24"/>
    </row>
    <row r="189" ht="16.5" customHeight="1">
      <c r="J189" s="24"/>
    </row>
    <row r="190" ht="16.5" customHeight="1">
      <c r="J190" s="24"/>
    </row>
    <row r="191" ht="16.5" customHeight="1">
      <c r="J191" s="24"/>
    </row>
    <row r="192" ht="16.5" customHeight="1">
      <c r="J192" s="24"/>
    </row>
    <row r="193" ht="16.5" customHeight="1">
      <c r="J193" s="24"/>
    </row>
    <row r="194" ht="16.5" customHeight="1">
      <c r="J194" s="24"/>
    </row>
    <row r="195" ht="16.5" customHeight="1">
      <c r="J195" s="24"/>
    </row>
    <row r="196" ht="16.5" customHeight="1">
      <c r="J196" s="24"/>
    </row>
    <row r="197" ht="16.5" customHeight="1">
      <c r="J197" s="24"/>
    </row>
    <row r="198" ht="16.5" customHeight="1">
      <c r="J198" s="24"/>
    </row>
    <row r="199" ht="16.5" customHeight="1">
      <c r="J199" s="24"/>
    </row>
    <row r="200" ht="16.5" customHeight="1">
      <c r="J200" s="24"/>
    </row>
  </sheetData>
  <mergeCells count="29">
    <mergeCell ref="B2:B3"/>
    <mergeCell ref="B4:B29"/>
    <mergeCell ref="B30:B43"/>
    <mergeCell ref="B44:B45"/>
    <mergeCell ref="C2:C3"/>
    <mergeCell ref="C4:C5"/>
    <mergeCell ref="D2:D3"/>
    <mergeCell ref="C6:C7"/>
    <mergeCell ref="C8:C9"/>
    <mergeCell ref="C10:C12"/>
    <mergeCell ref="C13:C19"/>
    <mergeCell ref="C20:C26"/>
    <mergeCell ref="C27:C29"/>
    <mergeCell ref="C32:C36"/>
    <mergeCell ref="C37:C41"/>
    <mergeCell ref="C42:C43"/>
    <mergeCell ref="C44:C45"/>
    <mergeCell ref="D44:D45"/>
    <mergeCell ref="D42:D43"/>
    <mergeCell ref="D40:D41"/>
    <mergeCell ref="D37:D38"/>
    <mergeCell ref="D34:D36"/>
    <mergeCell ref="D27:D28"/>
    <mergeCell ref="D24:D25"/>
    <mergeCell ref="D20:D22"/>
    <mergeCell ref="D15:D18"/>
    <mergeCell ref="D11:D12"/>
    <mergeCell ref="D6:D7"/>
    <mergeCell ref="D4:D5"/>
  </mergeCells>
  <phoneticPr fontId="1" type="noConversion"/>
  <conditionalFormatting sqref="E1">
    <cfRule priority="3" type="expression" dxfId="0">
      <formula>#REF!="全量交付"</formula>
    </cfRule>
  </conditionalFormatting>
  <conditionalFormatting sqref="B1 D1">
    <cfRule priority="3" type="expression" dxfId="0">
      <formula>#REF!="全量交付"</formula>
    </cfRule>
  </conditionalFormatting>
  <dataValidations count="2">
    <dataValidation type="list" allowBlank="1" showErrorMessage="1" sqref="F2:F45">
      <formula1>"高,中,低,非必须"</formula1>
    </dataValidation>
    <dataValidation type="list" allowBlank="1" showErrorMessage="1" sqref="H2:H45">
      <formula1>"基本满足,完全不满足,完全满足"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8.1240234375" customWidth="1"/>
    <col min="2" max="2" width="22.7490234375" customWidth="1"/>
    <col min="3" max="3" width="19.7490234375" customWidth="1"/>
    <col min="4" max="4" width="21.75" customWidth="1"/>
    <col min="5" max="5" width="25.875" customWidth="1"/>
    <col min="6" max="6" width="14.25" customWidth="1"/>
    <col min="7" max="7" width="40.7490234375" customWidth="1"/>
    <col min="8" max="8" width="16.623046875" customWidth="1"/>
    <col min="9" max="9" width="17.373046875" customWidth="1"/>
    <col min="10" max="10" width="12.873046875" customWidth="1"/>
  </cols>
  <sheetData>
    <row r="1" ht="16.5" customHeight="1">
      <c r="B1" s="54" t="s">
        <v>0</v>
      </c>
      <c r="C1" s="22" t="s">
        <v>1</v>
      </c>
      <c r="D1" s="22" t="s">
        <v>2</v>
      </c>
      <c r="E1" s="22" t="s">
        <v>3</v>
      </c>
      <c r="F1" s="14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</row>
    <row r="2" ht="18" customHeight="1">
      <c r="A2" s="10" t="n">
        <v>1</v>
      </c>
      <c r="B2" s="4" t="s">
        <f>VLOOKUP(A:A,'全量进度管理'!A:L,2,FALSE)</f>
        <v>10</v>
      </c>
      <c r="C2" s="4" t="s">
        <f>VLOOKUP(A:A,'全量进度管理'!A:L,3,FALSE)</f>
        <v>11</v>
      </c>
      <c r="D2" s="4" t="s">
        <f>VLOOKUP(A:A,'全量进度管理'!A:L,4,FALSE)</f>
        <v>12</v>
      </c>
      <c r="E2" s="4" t="s">
        <f>VLOOKUP(A:A,'全量进度管理'!A:L,5,FALSE)</f>
        <v>13</v>
      </c>
      <c r="F2" s="4" t="s">
        <f>VLOOKUP(A:A,'全量进度管理'!A:L,6,FALSE)</f>
        <v>27</v>
      </c>
      <c r="G2" s="4" t="s">
        <f>VLOOKUP(A:A,'全量进度管理'!A:L,8,FALSE)</f>
        <v>15</v>
      </c>
      <c r="H2" s="4" t="s">
        <f>VLOOKUP(A:A,'全量进度管理'!A:L,9,FALSE)</f>
        <v>16</v>
      </c>
      <c r="I2" s="4" t="s">
        <f>VLOOKUP(A:A,'全量进度管理'!A:L,10,FALSE)</f>
        <v>17</v>
      </c>
      <c r="J2" s="24" t="n">
        <f>VLOOKUP(A:A,'全量进度管理'!A:L,11,FALSE)</f>
        <v>46234</v>
      </c>
      <c r="K2" s="4" t="s">
        <f>VLOOKUP(A:A,'全量进度管理'!A:L,12,FALSE)</f>
        <v>18</v>
      </c>
    </row>
    <row r="3" ht="18" customHeight="1">
      <c r="A3" s="10" t="n">
        <v>2</v>
      </c>
      <c r="E3" s="4" t="s">
        <f>VLOOKUP(A:A,'全量进度管理'!A:L,5,FALSE)</f>
        <v>134</v>
      </c>
      <c r="F3" s="4" t="s">
        <f>VLOOKUP(A:A,'全量进度管理'!A:L,6,FALSE)</f>
        <v>50</v>
      </c>
      <c r="G3" s="4" t="s">
        <f>VLOOKUP(A:A,'全量进度管理'!A:L,8,FALSE)</f>
        <v>20</v>
      </c>
      <c r="H3" s="4" t="s">
        <f>VLOOKUP(A:A,'全量进度管理'!A:L,9,FALSE)</f>
        <v>21</v>
      </c>
      <c r="K3" s="4" t="s">
        <f>VLOOKUP(A:A,'全量进度管理'!A:L,12,FALSE)</f>
        <v>135</v>
      </c>
    </row>
    <row r="4" ht="18" customHeight="1">
      <c r="A4" s="10" t="n">
        <v>3</v>
      </c>
      <c r="E4" s="4" t="s">
        <f>VLOOKUP(A:A,'全量进度管理'!A:L,5,FALSE)</f>
        <v>19</v>
      </c>
      <c r="F4" s="4" t="s">
        <f>VLOOKUP(A:A,'全量进度管理'!A:L,6,FALSE)</f>
        <v>14</v>
      </c>
      <c r="G4" s="4" t="s">
        <f>VLOOKUP(A:A,'全量进度管理'!A:L,8,FALSE)</f>
        <v>20</v>
      </c>
      <c r="H4" s="4" t="s">
        <f>VLOOKUP(A:A,'全量进度管理'!A:L,9,FALSE)</f>
        <v>21</v>
      </c>
      <c r="K4" s="4" t="s">
        <f>VLOOKUP(A:A,'全量进度管理'!A:L,12,FALSE)</f>
        <v>22</v>
      </c>
    </row>
    <row r="5" ht="18" customHeight="1">
      <c r="A5" s="10" t="n">
        <v>4</v>
      </c>
      <c r="E5" s="4" t="s">
        <f>VLOOKUP(A:A,'全量进度管理'!A:L,5,FALSE)</f>
        <v>136</v>
      </c>
      <c r="F5" s="4" t="s">
        <f>VLOOKUP(A:A,'全量进度管理'!A:L,6,FALSE)</f>
        <v>27</v>
      </c>
      <c r="G5" s="4" t="s">
        <f>VLOOKUP(A:A,'全量进度管理'!A:L,8,FALSE)</f>
        <v>20</v>
      </c>
      <c r="H5" s="4" t="s">
        <f>VLOOKUP(A:A,'全量进度管理'!A:L,9,FALSE)</f>
        <v>21</v>
      </c>
      <c r="I5" s="4" t="s">
        <f>VLOOKUP(A:A,'全量进度管理'!A:L,10,FALSE)</f>
        <v>137</v>
      </c>
      <c r="J5" s="24"/>
      <c r="K5" s="4" t="s">
        <f>VLOOKUP(A:A,'全量进度管理'!A:L,12,FALSE)</f>
        <v>22</v>
      </c>
    </row>
    <row r="6" ht="18" customHeight="1">
      <c r="A6" s="10" t="n">
        <v>5</v>
      </c>
      <c r="B6" s="4" t="s">
        <f>VLOOKUP(A:A,'全量进度管理'!A:L,2,FALSE)</f>
        <v>23</v>
      </c>
      <c r="C6" s="4" t="s">
        <f>VLOOKUP(A:A,'全量进度管理'!A:L,3,FALSE)</f>
        <v>24</v>
      </c>
      <c r="D6" s="4" t="s">
        <f>VLOOKUP(A:A,'全量进度管理'!A:L,4,FALSE)</f>
        <v>25</v>
      </c>
      <c r="E6" s="4" t="s">
        <f>VLOOKUP(A:A,'全量进度管理'!A:L,5,FALSE)</f>
        <v>26</v>
      </c>
      <c r="F6" s="4" t="s">
        <f>VLOOKUP(A:A,'全量进度管理'!A:L,6,FALSE)</f>
        <v>27</v>
      </c>
      <c r="G6" s="4" t="s">
        <f>VLOOKUP(A:A,'全量进度管理'!A:L,8,FALSE)</f>
        <v>28</v>
      </c>
      <c r="H6" s="4" t="s">
        <f>VLOOKUP(A:A,'全量进度管理'!A:L,9,FALSE)</f>
        <v>29</v>
      </c>
      <c r="J6" s="24"/>
    </row>
    <row r="7" ht="18" customHeight="1">
      <c r="A7" s="10" t="n">
        <v>6</v>
      </c>
      <c r="E7" s="4" t="s">
        <f>VLOOKUP(A:A,'全量进度管理'!A:L,5,FALSE)</f>
        <v>138</v>
      </c>
      <c r="F7" s="4" t="s">
        <f>VLOOKUP(A:A,'全量进度管理'!A:L,6,FALSE)</f>
        <v>27</v>
      </c>
      <c r="G7" s="4" t="s">
        <f>VLOOKUP(A:A,'全量进度管理'!A:L,8,FALSE)</f>
        <v>139</v>
      </c>
      <c r="H7" s="4" t="s">
        <f>VLOOKUP(A:A,'全量进度管理'!A:L,9,FALSE)</f>
        <v>29</v>
      </c>
      <c r="I7" s="4" t="s">
        <f>VLOOKUP(A:A,'全量进度管理'!A:L,10,FALSE)</f>
        <v>140</v>
      </c>
      <c r="J7" s="24"/>
      <c r="K7" s="4" t="s">
        <f>VLOOKUP(A:A,'全量进度管理'!A:L,12,FALSE)</f>
        <v>22</v>
      </c>
    </row>
    <row r="8" ht="18" customHeight="1">
      <c r="A8" s="10" t="n">
        <v>7</v>
      </c>
      <c r="E8" s="4" t="s">
        <f>VLOOKUP(A:A,'全量进度管理'!A:L,5,FALSE)</f>
        <v>141</v>
      </c>
      <c r="F8" s="4" t="s">
        <f>VLOOKUP(A:A,'全量进度管理'!A:L,6,FALSE)</f>
        <v>27</v>
      </c>
      <c r="G8" s="4" t="s">
        <f>VLOOKUP(A:A,'全量进度管理'!A:L,8,FALSE)</f>
        <v>142</v>
      </c>
      <c r="H8" s="4" t="s">
        <f>VLOOKUP(A:A,'全量进度管理'!A:L,9,FALSE)</f>
        <v>16</v>
      </c>
      <c r="I8" s="4" t="s">
        <f>VLOOKUP(A:A,'全量进度管理'!A:L,10,FALSE)</f>
        <v>143</v>
      </c>
      <c r="J8" s="24"/>
      <c r="K8" s="4" t="s">
        <f>VLOOKUP(A:A,'全量进度管理'!A:L,12,FALSE)</f>
        <v>22</v>
      </c>
    </row>
    <row r="9" ht="18" customHeight="1">
      <c r="A9" s="10" t="n">
        <v>8</v>
      </c>
      <c r="E9" s="4" t="s">
        <f>VLOOKUP(A:A,'全量进度管理'!A:L,5,FALSE)</f>
        <v>30</v>
      </c>
      <c r="F9" s="4" t="s">
        <f>VLOOKUP(A:A,'全量进度管理'!A:L,6,FALSE)</f>
        <v>14</v>
      </c>
      <c r="G9" s="4" t="s">
        <f>VLOOKUP(A:A,'全量进度管理'!A:L,8,FALSE)</f>
        <v>20</v>
      </c>
      <c r="H9" s="4" t="s">
        <f>VLOOKUP(A:A,'全量进度管理'!A:L,9,FALSE)</f>
        <v>21</v>
      </c>
      <c r="I9" s="4" t="s">
        <f>VLOOKUP(A:A,'全量进度管理'!A:L,10,FALSE)</f>
        <v>31</v>
      </c>
      <c r="J9" s="24"/>
      <c r="K9" s="4" t="s">
        <f>VLOOKUP(A:A,'全量进度管理'!A:L,12,FALSE)</f>
        <v>22</v>
      </c>
    </row>
    <row r="10" ht="18" customHeight="1">
      <c r="A10" s="10" t="n">
        <v>9</v>
      </c>
      <c r="C10" s="4" t="s">
        <f>VLOOKUP(A:A,'全量进度管理'!A:L,3,FALSE)</f>
        <v>32</v>
      </c>
      <c r="D10" s="4" t="s">
        <f>VLOOKUP(A:A,'全量进度管理'!A:L,4,FALSE)</f>
        <v>33</v>
      </c>
      <c r="E10" s="4" t="s">
        <f>VLOOKUP(A:A,'全量进度管理'!A:L,5,FALSE)</f>
        <v>34</v>
      </c>
      <c r="F10" s="4" t="s">
        <f>VLOOKUP(A:A,'全量进度管理'!A:L,6,FALSE)</f>
        <v>27</v>
      </c>
      <c r="G10" s="4" t="s">
        <f>VLOOKUP(A:A,'全量进度管理'!A:L,8,FALSE)</f>
        <v>35</v>
      </c>
      <c r="H10" s="4" t="s">
        <f>VLOOKUP(A:A,'全量进度管理'!A:L,9,FALSE)</f>
        <v>29</v>
      </c>
      <c r="J10" s="24"/>
    </row>
    <row r="11" ht="18" customHeight="1">
      <c r="A11" s="10" t="n">
        <v>10</v>
      </c>
      <c r="E11" s="4" t="s">
        <f>VLOOKUP(A:A,'全量进度管理'!A:L,5,FALSE)</f>
        <v>36</v>
      </c>
      <c r="F11" s="4" t="s">
        <f>VLOOKUP(A:A,'全量进度管理'!A:L,6,FALSE)</f>
        <v>14</v>
      </c>
      <c r="G11" s="4" t="s">
        <f>VLOOKUP(A:A,'全量进度管理'!A:L,8,FALSE)</f>
        <v>20</v>
      </c>
      <c r="H11" s="4" t="s">
        <f>VLOOKUP(A:A,'全量进度管理'!A:L,9,FALSE)</f>
        <v>21</v>
      </c>
      <c r="I11" s="4" t="s">
        <f>VLOOKUP(A:A,'全量进度管理'!A:L,10,FALSE)</f>
        <v>37</v>
      </c>
      <c r="J11" s="24"/>
      <c r="K11" s="4" t="s">
        <f>VLOOKUP(A:A,'全量进度管理'!A:L,12,FALSE)</f>
        <v>22</v>
      </c>
    </row>
    <row r="12" ht="18" customHeight="1">
      <c r="A12" s="10" t="n">
        <v>11</v>
      </c>
      <c r="C12" s="4" t="s">
        <f>VLOOKUP(A:A,'全量进度管理'!A:L,3,FALSE)</f>
        <v>38</v>
      </c>
      <c r="D12" s="4" t="s">
        <f>VLOOKUP(A:A,'全量进度管理'!A:L,4,FALSE)</f>
        <v>39</v>
      </c>
      <c r="E12" s="4" t="s">
        <f>VLOOKUP(A:A,'全量进度管理'!A:L,5,FALSE)</f>
        <v>40</v>
      </c>
      <c r="F12" s="4" t="s">
        <f>VLOOKUP(A:A,'全量进度管理'!A:L,6,FALSE)</f>
        <v>41</v>
      </c>
      <c r="G12" s="4" t="s">
        <f>VLOOKUP(A:A,'全量进度管理'!A:L,8,FALSE)</f>
        <v>42</v>
      </c>
      <c r="H12" s="4" t="s">
        <f>VLOOKUP(A:A,'全量进度管理'!A:L,9,FALSE)</f>
        <v>16</v>
      </c>
      <c r="I12" s="4" t="s">
        <f>VLOOKUP(A:A,'全量进度管理'!A:L,10,FALSE)</f>
        <v>43</v>
      </c>
      <c r="J12" s="24"/>
    </row>
    <row r="13" ht="18" customHeight="1">
      <c r="A13" s="10" t="n">
        <v>12</v>
      </c>
      <c r="D13" s="4" t="s">
        <f>VLOOKUP(A:A,'全量进度管理'!A:L,4,FALSE)</f>
        <v>44</v>
      </c>
      <c r="E13" s="4" t="s">
        <f>VLOOKUP(A:A,'全量进度管理'!A:L,5,FALSE)</f>
        <v>45</v>
      </c>
      <c r="F13" s="4" t="s">
        <f>VLOOKUP(A:A,'全量进度管理'!A:L,6,FALSE)</f>
        <v>41</v>
      </c>
      <c r="G13" s="4" t="s">
        <f>VLOOKUP(A:A,'全量进度管理'!A:L,8,FALSE)</f>
        <v>46</v>
      </c>
      <c r="H13" s="4" t="s">
        <f>VLOOKUP(A:A,'全量进度管理'!A:L,9,FALSE)</f>
        <v>29</v>
      </c>
      <c r="J13" s="24"/>
    </row>
    <row r="14" ht="18" customHeight="1">
      <c r="A14" s="10" t="n">
        <v>13</v>
      </c>
      <c r="C14" s="4" t="s">
        <f>VLOOKUP(A:A,'全量进度管理'!A:L,3,FALSE)</f>
        <v>47</v>
      </c>
      <c r="D14" s="4" t="s">
        <f>VLOOKUP(A:A,'全量进度管理'!A:L,4,FALSE)</f>
        <v>48</v>
      </c>
      <c r="E14" s="4" t="s">
        <f>VLOOKUP(A:A,'全量进度管理'!A:L,5,FALSE)</f>
        <v>49</v>
      </c>
      <c r="F14" s="4" t="s">
        <f>VLOOKUP(A:A,'全量进度管理'!A:L,6,FALSE)</f>
        <v>50</v>
      </c>
      <c r="G14" s="4" t="s">
        <f>VLOOKUP(A:A,'全量进度管理'!A:L,8,FALSE)</f>
        <v>51</v>
      </c>
      <c r="H14" s="4" t="s">
        <f>VLOOKUP(A:A,'全量进度管理'!A:L,9,FALSE)</f>
        <v>29</v>
      </c>
      <c r="J14" s="24"/>
    </row>
    <row r="15" ht="18" customHeight="1">
      <c r="A15" s="10" t="n">
        <v>14</v>
      </c>
      <c r="D15" s="4" t="s">
        <f>VLOOKUP(A:A,'全量进度管理'!A:L,4,FALSE)</f>
        <v>52</v>
      </c>
      <c r="E15" s="4" t="s">
        <f>VLOOKUP(A:A,'全量进度管理'!A:L,5,FALSE)</f>
        <v>53</v>
      </c>
      <c r="F15" s="4" t="s">
        <f>VLOOKUP(A:A,'全量进度管理'!A:L,6,FALSE)</f>
        <v>27</v>
      </c>
      <c r="G15" s="4" t="s">
        <f>VLOOKUP(A:A,'全量进度管理'!A:L,8,FALSE)</f>
        <v>54</v>
      </c>
      <c r="H15" s="4" t="s">
        <f>VLOOKUP(A:A,'全量进度管理'!A:L,9,FALSE)</f>
        <v>29</v>
      </c>
      <c r="J15" s="24"/>
    </row>
    <row r="16" ht="18" customHeight="1">
      <c r="A16" s="10" t="n">
        <v>15</v>
      </c>
      <c r="E16" s="4" t="s">
        <f>VLOOKUP(A:A,'全量进度管理'!A:L,5,FALSE)</f>
        <v>55</v>
      </c>
      <c r="F16" s="4" t="s">
        <f>VLOOKUP(A:A,'全量进度管理'!A:L,6,FALSE)</f>
        <v>41</v>
      </c>
      <c r="G16" s="4" t="s">
        <f>VLOOKUP(A:A,'全量进度管理'!A:L,8,FALSE)</f>
        <v>56</v>
      </c>
      <c r="H16" s="4" t="s">
        <f>VLOOKUP(A:A,'全量进度管理'!A:L,9,FALSE)</f>
        <v>16</v>
      </c>
      <c r="J16" s="24"/>
      <c r="K16" s="4" t="s">
        <f>VLOOKUP(A:A,'全量进度管理'!A:L,12,FALSE)</f>
        <v>22</v>
      </c>
    </row>
    <row r="17" ht="18" customHeight="1">
      <c r="A17" s="10" t="n">
        <v>16</v>
      </c>
      <c r="C17" s="4" t="s">
        <f>VLOOKUP(A:A,'全量进度管理'!A:L,3,FALSE)</f>
        <v>57</v>
      </c>
      <c r="D17" s="4" t="s">
        <f>VLOOKUP(A:A,'全量进度管理'!A:L,4,FALSE)</f>
        <v>58</v>
      </c>
      <c r="E17" s="4" t="s">
        <f>VLOOKUP(A:A,'全量进度管理'!A:L,5,FALSE)</f>
        <v>59</v>
      </c>
      <c r="F17" s="4" t="s">
        <f>VLOOKUP(A:A,'全量进度管理'!A:L,6,FALSE)</f>
        <v>27</v>
      </c>
      <c r="G17" s="4" t="s">
        <f>VLOOKUP(A:A,'全量进度管理'!A:L,8,FALSE)</f>
        <v>60</v>
      </c>
      <c r="H17" s="4" t="s">
        <f>VLOOKUP(A:A,'全量进度管理'!A:L,9,FALSE)</f>
        <v>29</v>
      </c>
      <c r="J17" s="24"/>
    </row>
    <row r="18" ht="18" customHeight="1">
      <c r="A18" s="10" t="n">
        <v>17</v>
      </c>
      <c r="D18" s="4" t="s">
        <f>VLOOKUP(A:A,'全量进度管理'!A:L,4,FALSE)</f>
        <v>61</v>
      </c>
      <c r="E18" s="4" t="s">
        <f>VLOOKUP(A:A,'全量进度管理'!A:L,5,FALSE)</f>
        <v>62</v>
      </c>
      <c r="F18" s="4" t="s">
        <f>VLOOKUP(A:A,'全量进度管理'!A:L,6,FALSE)</f>
        <v>41</v>
      </c>
      <c r="G18" s="4" t="s">
        <f>VLOOKUP(A:A,'全量进度管理'!A:L,8,FALSE)</f>
        <v>63</v>
      </c>
      <c r="H18" s="4" t="s">
        <f>VLOOKUP(A:A,'全量进度管理'!A:L,9,FALSE)</f>
        <v>29</v>
      </c>
      <c r="J18" s="24"/>
    </row>
    <row r="19" ht="18" customHeight="1">
      <c r="A19" s="10" t="n">
        <v>18</v>
      </c>
      <c r="D19" s="4" t="s">
        <f>VLOOKUP(A:A,'全量进度管理'!A:L,4,FALSE)</f>
        <v>64</v>
      </c>
      <c r="E19" s="4" t="s">
        <f>VLOOKUP(A:A,'全量进度管理'!A:L,5,FALSE)</f>
        <v>65</v>
      </c>
      <c r="F19" s="4" t="s">
        <f>VLOOKUP(A:A,'全量进度管理'!A:L,6,FALSE)</f>
        <v>14</v>
      </c>
      <c r="G19" s="4" t="s">
        <f>VLOOKUP(A:A,'全量进度管理'!A:L,8,FALSE)</f>
        <v>66</v>
      </c>
      <c r="H19" s="4" t="s">
        <f>VLOOKUP(A:A,'全量进度管理'!A:L,9,FALSE)</f>
        <v>16</v>
      </c>
      <c r="I19" s="4" t="s">
        <f>VLOOKUP(A:A,'全量进度管理'!A:L,10,FALSE)</f>
        <v>67</v>
      </c>
      <c r="J19" s="24"/>
      <c r="K19" s="4" t="s">
        <f>VLOOKUP(A:A,'全量进度管理'!A:L,12,FALSE)</f>
        <v>22</v>
      </c>
    </row>
    <row r="20" ht="18" customHeight="1">
      <c r="A20" s="10" t="n">
        <v>19</v>
      </c>
      <c r="E20" s="4" t="s">
        <f>VLOOKUP(A:A,'全量进度管理'!A:L,5,FALSE)</f>
        <v>68</v>
      </c>
      <c r="F20" s="4" t="s">
        <f>VLOOKUP(A:A,'全量进度管理'!A:L,6,FALSE)</f>
        <v>41</v>
      </c>
      <c r="G20" s="4" t="s">
        <f>VLOOKUP(A:A,'全量进度管理'!A:L,8,FALSE)</f>
        <v>20</v>
      </c>
      <c r="H20" s="4" t="s">
        <f>VLOOKUP(A:A,'全量进度管理'!A:L,9,FALSE)</f>
        <v>21</v>
      </c>
      <c r="I20" s="4" t="s">
        <f>VLOOKUP(A:A,'全量进度管理'!A:L,10,FALSE)</f>
        <v>69</v>
      </c>
      <c r="J20" s="24" t="n">
        <f>VLOOKUP(A:A,'全量进度管理'!A:L,11,FALSE)</f>
        <v>46265</v>
      </c>
      <c r="K20" s="4" t="s">
        <f>VLOOKUP(A:A,'全量进度管理'!A:L,12,FALSE)</f>
        <v>70</v>
      </c>
    </row>
    <row r="21" ht="18" customHeight="1">
      <c r="A21" s="10" t="n">
        <v>20</v>
      </c>
      <c r="E21" s="4" t="s">
        <f>VLOOKUP(A:A,'全量进度管理'!A:L,5,FALSE)</f>
        <v>71</v>
      </c>
      <c r="F21" s="4" t="s">
        <f>VLOOKUP(A:A,'全量进度管理'!A:L,6,FALSE)</f>
        <v>41</v>
      </c>
      <c r="G21" s="4" t="s">
        <f>VLOOKUP(A:A,'全量进度管理'!A:L,8,FALSE)</f>
        <v>20</v>
      </c>
      <c r="H21" s="4" t="s">
        <f>VLOOKUP(A:A,'全量进度管理'!A:L,9,FALSE)</f>
        <v>21</v>
      </c>
      <c r="J21" s="24"/>
    </row>
    <row r="22" ht="18" customHeight="1">
      <c r="A22" s="10" t="n">
        <v>21</v>
      </c>
      <c r="E22" s="4" t="s">
        <f>VLOOKUP(A:A,'全量进度管理'!A:L,5,FALSE)</f>
        <v>72</v>
      </c>
      <c r="F22" s="4" t="s">
        <f>VLOOKUP(A:A,'全量进度管理'!A:L,6,FALSE)</f>
        <v>41</v>
      </c>
      <c r="G22" s="4" t="s">
        <f>VLOOKUP(A:A,'全量进度管理'!A:L,8,FALSE)</f>
        <v>20</v>
      </c>
      <c r="H22" s="4" t="s">
        <f>VLOOKUP(A:A,'全量进度管理'!A:L,9,FALSE)</f>
        <v>21</v>
      </c>
      <c r="J22" s="24"/>
    </row>
    <row r="23" ht="18" customHeight="1">
      <c r="A23" s="10" t="n">
        <v>22</v>
      </c>
      <c r="D23" s="4" t="s">
        <f>VLOOKUP(A:A,'全量进度管理'!A:L,4,FALSE)</f>
        <v>73</v>
      </c>
      <c r="E23" s="4" t="s">
        <f>VLOOKUP(A:A,'全量进度管理'!A:L,5,FALSE)</f>
        <v>74</v>
      </c>
      <c r="F23" s="4" t="s">
        <f>VLOOKUP(A:A,'全量进度管理'!A:L,6,FALSE)</f>
        <v>14</v>
      </c>
      <c r="G23" s="4" t="s">
        <f>VLOOKUP(A:A,'全量进度管理'!A:L,8,FALSE)</f>
        <v>75</v>
      </c>
      <c r="H23" s="4" t="s">
        <f>VLOOKUP(A:A,'全量进度管理'!A:L,9,FALSE)</f>
        <v>29</v>
      </c>
      <c r="J23" s="24"/>
    </row>
    <row r="24" ht="18" customHeight="1">
      <c r="A24" s="10" t="n">
        <v>23</v>
      </c>
      <c r="C24" s="4" t="s">
        <f>VLOOKUP(A:A,'全量进度管理'!A:L,3,FALSE)</f>
        <v>76</v>
      </c>
      <c r="D24" s="4" t="s">
        <f>VLOOKUP(A:A,'全量进度管理'!A:L,4,FALSE)</f>
        <v>77</v>
      </c>
      <c r="E24" s="4" t="s">
        <f>VLOOKUP(A:A,'全量进度管理'!A:L,5,FALSE)</f>
        <v>78</v>
      </c>
      <c r="F24" s="4" t="s">
        <f>VLOOKUP(A:A,'全量进度管理'!A:L,6,FALSE)</f>
        <v>27</v>
      </c>
      <c r="G24" s="4" t="s">
        <f>VLOOKUP(A:A,'全量进度管理'!A:L,8,FALSE)</f>
        <v>79</v>
      </c>
      <c r="H24" s="4" t="s">
        <f>VLOOKUP(A:A,'全量进度管理'!A:L,9,FALSE)</f>
        <v>29</v>
      </c>
      <c r="J24" s="24"/>
    </row>
    <row r="25" ht="18" customHeight="1">
      <c r="A25" s="10" t="n">
        <v>24</v>
      </c>
      <c r="E25" s="4" t="s">
        <f>VLOOKUP(A:A,'全量进度管理'!A:L,5,FALSE)</f>
        <v>80</v>
      </c>
      <c r="F25" s="4" t="s">
        <f>VLOOKUP(A:A,'全量进度管理'!A:L,6,FALSE)</f>
        <v>27</v>
      </c>
      <c r="G25" s="4" t="s">
        <f>VLOOKUP(A:A,'全量进度管理'!A:L,8,FALSE)</f>
        <v>81</v>
      </c>
      <c r="H25" s="4" t="s">
        <f>VLOOKUP(A:A,'全量进度管理'!A:L,9,FALSE)</f>
        <v>16</v>
      </c>
      <c r="I25" s="4" t="s">
        <f>VLOOKUP(A:A,'全量进度管理'!A:L,10,FALSE)</f>
        <v>82</v>
      </c>
      <c r="J25" s="24"/>
      <c r="K25" s="4" t="s">
        <f>VLOOKUP(A:A,'全量进度管理'!A:L,12,FALSE)</f>
        <v>22</v>
      </c>
    </row>
    <row r="26" ht="18" customHeight="1">
      <c r="A26" s="10" t="n">
        <v>25</v>
      </c>
      <c r="E26" s="4" t="s">
        <f>VLOOKUP(A:A,'全量进度管理'!A:L,5,FALSE)</f>
        <v>83</v>
      </c>
      <c r="F26" s="4" t="s">
        <f>VLOOKUP(A:A,'全量进度管理'!A:L,6,FALSE)</f>
        <v>27</v>
      </c>
      <c r="G26" s="4" t="s">
        <f>VLOOKUP(A:A,'全量进度管理'!A:L,8,FALSE)</f>
        <v>84</v>
      </c>
      <c r="H26" s="4" t="s">
        <f>VLOOKUP(A:A,'全量进度管理'!A:L,9,FALSE)</f>
        <v>29</v>
      </c>
      <c r="I26" s="4" t="s">
        <f>VLOOKUP(A:A,'全量进度管理'!A:L,10,FALSE)</f>
        <v>85</v>
      </c>
      <c r="J26" s="24"/>
      <c r="K26" s="4" t="s">
        <f>VLOOKUP(A:A,'全量进度管理'!A:L,12,FALSE)</f>
        <v>22</v>
      </c>
    </row>
    <row r="27" ht="18" customHeight="1">
      <c r="A27" s="10" t="n">
        <v>26</v>
      </c>
      <c r="D27" s="4" t="s">
        <f>VLOOKUP(A:A,'全量进度管理'!A:L,4,FALSE)</f>
        <v>86</v>
      </c>
      <c r="E27" s="4" t="s">
        <f>VLOOKUP(A:A,'全量进度管理'!A:L,5,FALSE)</f>
        <v>87</v>
      </c>
      <c r="F27" s="4" t="s">
        <f>VLOOKUP(A:A,'全量进度管理'!A:L,6,FALSE)</f>
        <v>41</v>
      </c>
      <c r="G27" s="4" t="s">
        <f>VLOOKUP(A:A,'全量进度管理'!A:L,8,FALSE)</f>
        <v>88</v>
      </c>
      <c r="H27" s="4" t="s">
        <f>VLOOKUP(A:A,'全量进度管理'!A:L,9,FALSE)</f>
        <v>16</v>
      </c>
      <c r="I27" s="4" t="s">
        <f>VLOOKUP(A:A,'全量进度管理'!A:L,10,FALSE)</f>
        <v>89</v>
      </c>
      <c r="J27" s="24"/>
      <c r="K27" s="4" t="s">
        <f>VLOOKUP(A:A,'全量进度管理'!A:L,12,FALSE)</f>
        <v>22</v>
      </c>
    </row>
    <row r="28" ht="18" customHeight="1">
      <c r="A28" s="10" t="n">
        <v>27</v>
      </c>
      <c r="D28" s="4" t="s">
        <f>VLOOKUP(A:A,'全量进度管理'!A:L,4,FALSE)</f>
        <v>90</v>
      </c>
      <c r="E28" s="4" t="s">
        <f>VLOOKUP(A:A,'全量进度管理'!A:L,5,FALSE)</f>
        <v>91</v>
      </c>
      <c r="F28" s="4" t="s">
        <f>VLOOKUP(A:A,'全量进度管理'!A:L,6,FALSE)</f>
        <v>27</v>
      </c>
      <c r="G28" s="4" t="s">
        <f>VLOOKUP(A:A,'全量进度管理'!A:L,8,FALSE)</f>
        <v>92</v>
      </c>
      <c r="H28" s="4" t="s">
        <f>VLOOKUP(A:A,'全量进度管理'!A:L,9,FALSE)</f>
        <v>29</v>
      </c>
      <c r="J28" s="24"/>
    </row>
    <row r="29" ht="18" customHeight="1">
      <c r="A29" s="10" t="n">
        <v>28</v>
      </c>
      <c r="E29" s="4" t="s">
        <f>VLOOKUP(A:A,'全量进度管理'!A:L,5,FALSE)</f>
        <v>93</v>
      </c>
      <c r="F29" s="4" t="s">
        <f>VLOOKUP(A:A,'全量进度管理'!A:L,6,FALSE)</f>
        <v>27</v>
      </c>
      <c r="G29" s="4" t="s">
        <f>VLOOKUP(A:A,'全量进度管理'!A:L,8,FALSE)</f>
        <v>94</v>
      </c>
      <c r="H29" s="4" t="s">
        <f>VLOOKUP(A:A,'全量进度管理'!A:L,9,FALSE)</f>
        <v>29</v>
      </c>
      <c r="J29" s="24"/>
    </row>
    <row r="30" ht="18" customHeight="1">
      <c r="A30" s="10" t="n">
        <v>29</v>
      </c>
      <c r="D30" s="4" t="s">
        <f>VLOOKUP(A:A,'全量进度管理'!A:L,4,FALSE)</f>
        <v>95</v>
      </c>
      <c r="E30" s="4" t="s">
        <f>VLOOKUP(A:A,'全量进度管理'!A:L,5,FALSE)</f>
        <v>96</v>
      </c>
      <c r="F30" s="4" t="s">
        <f>VLOOKUP(A:A,'全量进度管理'!A:L,6,FALSE)</f>
        <v>14</v>
      </c>
      <c r="G30" s="4" t="s">
        <f>VLOOKUP(A:A,'全量进度管理'!A:L,8,FALSE)</f>
        <v>20</v>
      </c>
      <c r="H30" s="4" t="s">
        <f>VLOOKUP(A:A,'全量进度管理'!A:L,9,FALSE)</f>
        <v>21</v>
      </c>
      <c r="I30" s="4" t="s">
        <f>VLOOKUP(A:A,'全量进度管理'!A:L,10,FALSE)</f>
        <v>97</v>
      </c>
      <c r="J30" s="24" t="n">
        <f>VLOOKUP(A:A,'全量进度管理'!A:L,11,FALSE)</f>
        <v>46265</v>
      </c>
      <c r="K30" s="4" t="s">
        <f>VLOOKUP(A:A,'全量进度管理'!A:L,12,FALSE)</f>
        <v>70</v>
      </c>
    </row>
    <row r="31" ht="18" customHeight="1">
      <c r="A31" s="10" t="n">
        <v>30</v>
      </c>
      <c r="C31" s="4" t="s">
        <f>VLOOKUP(A:A,'全量进度管理'!A:L,3,FALSE)</f>
        <v>98</v>
      </c>
      <c r="D31" s="4" t="s">
        <f>VLOOKUP(A:A,'全量进度管理'!A:L,4,FALSE)</f>
        <v>99</v>
      </c>
      <c r="E31" s="4" t="s">
        <f>VLOOKUP(A:A,'全量进度管理'!A:L,5,FALSE)</f>
        <v>100</v>
      </c>
      <c r="F31" s="4" t="s">
        <f>VLOOKUP(A:A,'全量进度管理'!A:L,6,FALSE)</f>
        <v>27</v>
      </c>
      <c r="G31" s="4" t="s">
        <f>VLOOKUP(A:A,'全量进度管理'!A:L,8,FALSE)</f>
        <v>101</v>
      </c>
      <c r="H31" s="4" t="s">
        <f>VLOOKUP(A:A,'全量进度管理'!A:L,9,FALSE)</f>
        <v>29</v>
      </c>
      <c r="J31" s="24"/>
    </row>
    <row r="32" ht="18" customHeight="1">
      <c r="A32" s="10" t="n">
        <v>31</v>
      </c>
      <c r="E32" s="4" t="s">
        <f>VLOOKUP(A:A,'全量进度管理'!A:L,5,FALSE)</f>
        <v>102</v>
      </c>
      <c r="F32" s="4" t="s">
        <f>VLOOKUP(A:A,'全量进度管理'!A:L,6,FALSE)</f>
        <v>41</v>
      </c>
      <c r="G32" s="4" t="s">
        <f>VLOOKUP(A:A,'全量进度管理'!A:L,8,FALSE)</f>
        <v>103</v>
      </c>
      <c r="H32" s="4" t="s">
        <f>VLOOKUP(A:A,'全量进度管理'!A:L,9,FALSE)</f>
        <v>29</v>
      </c>
      <c r="J32" s="24"/>
    </row>
    <row r="33" ht="18" customHeight="1">
      <c r="A33" s="10" t="n">
        <v>32</v>
      </c>
      <c r="E33" s="4" t="s">
        <f>VLOOKUP(A:A,'全量进度管理'!A:L,5,FALSE)</f>
        <v>144</v>
      </c>
      <c r="F33" s="4" t="s">
        <f>VLOOKUP(A:A,'全量进度管理'!A:L,6,FALSE)</f>
        <v>14</v>
      </c>
      <c r="G33" s="4" t="s">
        <f>VLOOKUP(A:A,'全量进度管理'!A:L,8,FALSE)</f>
        <v>20</v>
      </c>
      <c r="H33" s="4" t="s">
        <f>VLOOKUP(A:A,'全量进度管理'!A:L,9,FALSE)</f>
        <v>21</v>
      </c>
      <c r="I33" s="4" t="s">
        <f>VLOOKUP(A:A,'全量进度管理'!A:L,10,FALSE)</f>
        <v>145</v>
      </c>
      <c r="J33" s="24"/>
      <c r="K33" s="4" t="s">
        <f>VLOOKUP(A:A,'全量进度管理'!A:L,12,FALSE)</f>
        <v>22</v>
      </c>
    </row>
    <row r="34" ht="18" customHeight="1">
      <c r="A34" s="10" t="n">
        <v>65</v>
      </c>
      <c r="E34" s="4" t="s">
        <f>VLOOKUP(A:A,'全量进度管理'!A:L,5,FALSE)</f>
        <v>146</v>
      </c>
      <c r="F34" s="4" t="s">
        <f>VLOOKUP(A:A,'全量进度管理'!A:L,6,FALSE)</f>
        <v>41</v>
      </c>
      <c r="G34" s="4" t="s">
        <f>VLOOKUP(A:A,'全量进度管理'!A:L,8,FALSE)</f>
        <v>147</v>
      </c>
      <c r="H34" s="4" t="s">
        <f>VLOOKUP(A:A,'全量进度管理'!A:L,9,FALSE)</f>
        <v>16</v>
      </c>
      <c r="J34" s="24"/>
    </row>
    <row r="35" ht="18" customHeight="1">
      <c r="A35" s="10" t="n">
        <v>33</v>
      </c>
      <c r="D35" s="4" t="s">
        <f>VLOOKUP(A:A,'全量进度管理'!A:L,4,FALSE)</f>
        <v>104</v>
      </c>
      <c r="E35" s="4" t="s">
        <f>VLOOKUP(A:A,'全量进度管理'!A:L,5,FALSE)</f>
        <v>105</v>
      </c>
      <c r="F35" s="4" t="s">
        <f>VLOOKUP(A:A,'全量进度管理'!A:L,6,FALSE)</f>
        <v>27</v>
      </c>
      <c r="G35" s="4" t="s">
        <f>VLOOKUP(A:A,'全量进度管理'!A:L,8,FALSE)</f>
        <v>106</v>
      </c>
      <c r="H35" s="4" t="s">
        <f>VLOOKUP(A:A,'全量进度管理'!A:L,9,FALSE)</f>
        <v>29</v>
      </c>
      <c r="J35" s="24"/>
    </row>
    <row r="36" ht="18" customHeight="1">
      <c r="A36" s="10" t="n">
        <v>34</v>
      </c>
      <c r="B36" s="4" t="s">
        <f>VLOOKUP(A:A,'全量进度管理'!A:L,2,FALSE)</f>
        <v>107</v>
      </c>
      <c r="C36" s="4" t="s">
        <f>VLOOKUP(A:A,'全量进度管理'!A:L,3,FALSE)</f>
        <v>38</v>
      </c>
      <c r="D36" s="4" t="s">
        <f>VLOOKUP(A:A,'全量进度管理'!A:L,4,FALSE)</f>
        <v>108</v>
      </c>
      <c r="E36" s="4" t="s">
        <f>VLOOKUP(A:A,'全量进度管理'!A:L,5,FALSE)</f>
        <v>109</v>
      </c>
      <c r="F36" s="4" t="s">
        <f>VLOOKUP(A:A,'全量进度管理'!A:L,6,FALSE)</f>
        <v>27</v>
      </c>
      <c r="G36" s="4" t="s">
        <f>VLOOKUP(A:A,'全量进度管理'!A:L,8,FALSE)</f>
        <v>110</v>
      </c>
      <c r="H36" s="4" t="s">
        <f>VLOOKUP(A:A,'全量进度管理'!A:L,9,FALSE)</f>
        <v>16</v>
      </c>
      <c r="I36" s="4" t="s">
        <f>VLOOKUP(A:A,'全量进度管理'!A:L,10,FALSE)</f>
        <v>111</v>
      </c>
      <c r="J36" s="24"/>
      <c r="K36" s="4" t="s">
        <f>VLOOKUP(A:A,'全量进度管理'!A:L,12,FALSE)</f>
        <v>22</v>
      </c>
    </row>
    <row r="37" ht="18" customHeight="1">
      <c r="A37" s="10" t="n">
        <v>35</v>
      </c>
      <c r="C37" s="4" t="s">
        <f>VLOOKUP(A:A,'全量进度管理'!A:L,3,FALSE)</f>
        <v>47</v>
      </c>
      <c r="D37" s="4" t="s">
        <f>VLOOKUP(A:A,'全量进度管理'!A:L,4,FALSE)</f>
        <v>52</v>
      </c>
      <c r="E37" s="4" t="s">
        <f>VLOOKUP(A:A,'全量进度管理'!A:L,5,FALSE)</f>
        <v>53</v>
      </c>
      <c r="F37" s="4" t="s">
        <f>VLOOKUP(A:A,'全量进度管理'!A:L,6,FALSE)</f>
        <v>27</v>
      </c>
      <c r="G37" s="4" t="s">
        <f>VLOOKUP(A:A,'全量进度管理'!A:L,8,FALSE)</f>
        <v>54</v>
      </c>
      <c r="H37" s="4" t="s">
        <f>VLOOKUP(A:A,'全量进度管理'!A:L,9,FALSE)</f>
        <v>29</v>
      </c>
      <c r="J37" s="24"/>
    </row>
    <row r="38" ht="18" customHeight="1">
      <c r="A38" s="10" t="n">
        <v>36</v>
      </c>
      <c r="C38" s="4" t="s">
        <f>VLOOKUP(A:A,'全量进度管理'!A:L,3,FALSE)</f>
        <v>57</v>
      </c>
      <c r="D38" s="4" t="s">
        <f>VLOOKUP(A:A,'全量进度管理'!A:L,4,FALSE)</f>
        <v>61</v>
      </c>
      <c r="E38" s="4" t="s">
        <f>VLOOKUP(A:A,'全量进度管理'!A:L,5,FALSE)</f>
        <v>62</v>
      </c>
      <c r="F38" s="4" t="s">
        <f>VLOOKUP(A:A,'全量进度管理'!A:L,6,FALSE)</f>
        <v>41</v>
      </c>
      <c r="G38" s="4" t="s">
        <f>VLOOKUP(A:A,'全量进度管理'!A:L,8,FALSE)</f>
        <v>20</v>
      </c>
      <c r="H38" s="4" t="s">
        <f>VLOOKUP(A:A,'全量进度管理'!A:L,9,FALSE)</f>
        <v>21</v>
      </c>
      <c r="I38" s="4" t="s">
        <f>VLOOKUP(A:A,'全量进度管理'!A:L,10,FALSE)</f>
        <v>63</v>
      </c>
      <c r="J38" s="24" t="n">
        <f>VLOOKUP(A:A,'全量进度管理'!A:L,11,FALSE)</f>
        <v>46203</v>
      </c>
      <c r="K38" s="4" t="s">
        <f>VLOOKUP(A:A,'全量进度管理'!A:L,12,FALSE)</f>
        <v>18</v>
      </c>
    </row>
    <row r="39" ht="27.75" customHeight="1">
      <c r="A39" s="10" t="n">
        <v>37</v>
      </c>
      <c r="D39" s="4" t="s">
        <f>VLOOKUP(A:A,'全量进度管理'!A:L,4,FALSE)</f>
        <v>58</v>
      </c>
      <c r="E39" s="4" t="s">
        <f>VLOOKUP(A:A,'全量进度管理'!A:L,5,FALSE)</f>
        <v>58</v>
      </c>
      <c r="F39" s="4" t="s">
        <f>VLOOKUP(A:A,'全量进度管理'!A:L,6,FALSE)</f>
        <v>41</v>
      </c>
      <c r="G39" s="4" t="s">
        <f>VLOOKUP(A:A,'全量进度管理'!A:L,8,FALSE)</f>
        <v>112</v>
      </c>
      <c r="H39" s="4" t="s">
        <f>VLOOKUP(A:A,'全量进度管理'!A:L,9,FALSE)</f>
        <v>16</v>
      </c>
      <c r="I39" s="3" t="s">
        <f>VLOOKUP(A:A,'全量进度管理'!A:L,10,FALSE)</f>
        <v>113</v>
      </c>
      <c r="J39" s="24"/>
    </row>
    <row r="40" ht="18" customHeight="1">
      <c r="A40" s="10" t="n">
        <v>38</v>
      </c>
      <c r="D40" s="4" t="s">
        <f>VLOOKUP(A:A,'全量进度管理'!A:L,4,FALSE)</f>
        <v>64</v>
      </c>
      <c r="E40" s="4" t="s">
        <f>VLOOKUP(A:A,'全量进度管理'!A:L,5,FALSE)</f>
        <v>68</v>
      </c>
      <c r="F40" s="4" t="s">
        <f>VLOOKUP(A:A,'全量进度管理'!A:L,6,FALSE)</f>
        <v>41</v>
      </c>
      <c r="G40" s="4" t="s">
        <f>VLOOKUP(A:A,'全量进度管理'!A:L,8,FALSE)</f>
        <v>20</v>
      </c>
      <c r="H40" s="4" t="s">
        <f>VLOOKUP(A:A,'全量进度管理'!A:L,9,FALSE)</f>
        <v>21</v>
      </c>
      <c r="I40" s="4" t="s">
        <f>VLOOKUP(A:A,'全量进度管理'!A:L,10,FALSE)</f>
        <v>69</v>
      </c>
      <c r="J40" s="24" t="n">
        <f>VLOOKUP(A:A,'全量进度管理'!A:L,11,FALSE)</f>
        <v>46265</v>
      </c>
      <c r="K40" s="4" t="s">
        <f>VLOOKUP(A:A,'全量进度管理'!A:L,12,FALSE)</f>
        <v>70</v>
      </c>
    </row>
    <row r="41" ht="18" customHeight="1">
      <c r="A41" s="10" t="n">
        <v>39</v>
      </c>
      <c r="E41" s="4" t="s">
        <f>VLOOKUP(A:A,'全量进度管理'!A:L,5,FALSE)</f>
        <v>71</v>
      </c>
      <c r="F41" s="4" t="s">
        <f>VLOOKUP(A:A,'全量进度管理'!A:L,6,FALSE)</f>
        <v>14</v>
      </c>
      <c r="G41" s="4" t="s">
        <f>VLOOKUP(A:A,'全量进度管理'!A:L,8,FALSE)</f>
        <v>20</v>
      </c>
      <c r="H41" s="4" t="s">
        <f>VLOOKUP(A:A,'全量进度管理'!A:L,9,FALSE)</f>
        <v>21</v>
      </c>
      <c r="J41" s="24"/>
    </row>
    <row r="42" ht="18" customHeight="1">
      <c r="A42" s="10" t="n">
        <v>40</v>
      </c>
      <c r="E42" s="4" t="s">
        <f>VLOOKUP(A:A,'全量进度管理'!A:L,5,FALSE)</f>
        <v>72</v>
      </c>
      <c r="F42" s="4" t="s">
        <f>VLOOKUP(A:A,'全量进度管理'!A:L,6,FALSE)</f>
        <v>50</v>
      </c>
      <c r="G42" s="4" t="s">
        <f>VLOOKUP(A:A,'全量进度管理'!A:L,8,FALSE)</f>
        <v>20</v>
      </c>
      <c r="H42" s="4" t="s">
        <f>VLOOKUP(A:A,'全量进度管理'!A:L,9,FALSE)</f>
        <v>21</v>
      </c>
      <c r="J42" s="24"/>
    </row>
    <row r="43" ht="18" customHeight="1">
      <c r="A43" s="10" t="n">
        <v>41</v>
      </c>
      <c r="C43" s="4" t="s">
        <f>VLOOKUP(A:A,'全量进度管理'!A:L,3,FALSE)</f>
        <v>76</v>
      </c>
      <c r="D43" s="4" t="s">
        <f>VLOOKUP(A:A,'全量进度管理'!A:L,4,FALSE)</f>
        <v>114</v>
      </c>
      <c r="E43" s="4" t="s">
        <f>VLOOKUP(A:A,'全量进度管理'!A:L,5,FALSE)</f>
        <v>115</v>
      </c>
      <c r="F43" s="4" t="s">
        <f>VLOOKUP(A:A,'全量进度管理'!A:L,6,FALSE)</f>
        <v>27</v>
      </c>
      <c r="G43" s="4" t="s">
        <f>VLOOKUP(A:A,'全量进度管理'!A:L,8,FALSE)</f>
        <v>116</v>
      </c>
      <c r="H43" s="4" t="s">
        <f>VLOOKUP(A:A,'全量进度管理'!A:L,9,FALSE)</f>
        <v>29</v>
      </c>
      <c r="J43" s="24"/>
    </row>
    <row r="44" ht="18" customHeight="1">
      <c r="A44" s="10" t="n">
        <v>42</v>
      </c>
      <c r="E44" s="4" t="s">
        <f>VLOOKUP(A:A,'全量进度管理'!A:L,5,FALSE)</f>
        <v>117</v>
      </c>
      <c r="F44" s="4" t="s">
        <f>VLOOKUP(A:A,'全量进度管理'!A:L,6,FALSE)</f>
        <v>27</v>
      </c>
      <c r="G44" s="4" t="s">
        <f>VLOOKUP(A:A,'全量进度管理'!A:L,8,FALSE)</f>
        <v>20</v>
      </c>
      <c r="H44" s="4" t="s">
        <f>VLOOKUP(A:A,'全量进度管理'!A:L,9,FALSE)</f>
        <v>21</v>
      </c>
      <c r="I44" s="4" t="s">
        <f>VLOOKUP(A:A,'全量进度管理'!A:L,10,FALSE)</f>
        <v>118</v>
      </c>
      <c r="J44" s="24" t="n">
        <f>VLOOKUP(A:A,'全量进度管理'!A:L,11,FALSE)</f>
        <v>46265</v>
      </c>
      <c r="K44" s="4" t="s">
        <f>VLOOKUP(A:A,'全量进度管理'!A:L,12,FALSE)</f>
        <v>70</v>
      </c>
    </row>
    <row r="45" ht="18" customHeight="1">
      <c r="A45" s="10" t="n">
        <v>43</v>
      </c>
      <c r="D45" s="4" t="s">
        <f>VLOOKUP(A:A,'全量进度管理'!A:L,4,FALSE)</f>
        <v>119</v>
      </c>
      <c r="E45" s="4" t="s">
        <f>VLOOKUP(A:A,'全量进度管理'!A:L,5,FALSE)</f>
        <v>120</v>
      </c>
      <c r="F45" s="4" t="s">
        <f>VLOOKUP(A:A,'全量进度管理'!A:L,6,FALSE)</f>
        <v>41</v>
      </c>
      <c r="G45" s="4" t="s">
        <f>VLOOKUP(A:A,'全量进度管理'!A:L,8,FALSE)</f>
        <v>20</v>
      </c>
      <c r="H45" s="4" t="s">
        <f>VLOOKUP(A:A,'全量进度管理'!A:L,9,FALSE)</f>
        <v>21</v>
      </c>
      <c r="I45" s="4" t="s">
        <f>VLOOKUP(A:A,'全量进度管理'!A:L,10,FALSE)</f>
        <v>121</v>
      </c>
      <c r="J45" s="24" t="n">
        <f>VLOOKUP(A:A,'全量进度管理'!A:L,11,FALSE)</f>
        <v>46234</v>
      </c>
      <c r="K45" s="4" t="s">
        <f>VLOOKUP(A:A,'全量进度管理'!A:L,12,FALSE)</f>
        <v>18</v>
      </c>
    </row>
    <row r="46" ht="18" customHeight="1">
      <c r="A46" s="10" t="n">
        <v>44</v>
      </c>
      <c r="D46" s="4" t="s">
        <f>VLOOKUP(A:A,'全量进度管理'!A:L,4,FALSE)</f>
        <v>122</v>
      </c>
      <c r="E46" s="4" t="s">
        <f>VLOOKUP(A:A,'全量进度管理'!A:L,5,FALSE)</f>
        <v>115</v>
      </c>
      <c r="F46" s="4" t="s">
        <f>VLOOKUP(A:A,'全量进度管理'!A:L,6,FALSE)</f>
        <v>27</v>
      </c>
      <c r="G46" s="4" t="s">
        <f>VLOOKUP(A:A,'全量进度管理'!A:L,8,FALSE)</f>
        <v>116</v>
      </c>
      <c r="H46" s="4" t="s">
        <f>VLOOKUP(A:A,'全量进度管理'!A:L,9,FALSE)</f>
        <v>29</v>
      </c>
      <c r="J46" s="24"/>
    </row>
    <row r="47" ht="18" customHeight="1">
      <c r="A47" s="10" t="n">
        <v>45</v>
      </c>
      <c r="E47" s="4" t="s">
        <f>VLOOKUP(A:A,'全量进度管理'!A:L,5,FALSE)</f>
        <v>117</v>
      </c>
      <c r="F47" s="4" t="s">
        <f>VLOOKUP(A:A,'全量进度管理'!A:L,6,FALSE)</f>
        <v>27</v>
      </c>
      <c r="G47" s="4" t="s">
        <f>VLOOKUP(A:A,'全量进度管理'!A:L,8,FALSE)</f>
        <v>20</v>
      </c>
      <c r="H47" s="4" t="s">
        <f>VLOOKUP(A:A,'全量进度管理'!A:L,9,FALSE)</f>
        <v>21</v>
      </c>
      <c r="I47" s="4" t="s">
        <f>VLOOKUP(A:A,'全量进度管理'!A:L,10,FALSE)</f>
        <v>123</v>
      </c>
      <c r="J47" s="24"/>
      <c r="K47" s="4" t="s">
        <f>VLOOKUP(A:A,'全量进度管理'!A:L,12,FALSE)</f>
        <v>22</v>
      </c>
    </row>
    <row r="48" ht="18" customHeight="1">
      <c r="A48" s="10" t="n">
        <v>46</v>
      </c>
      <c r="C48" s="4" t="s">
        <f>VLOOKUP(A:A,'全量进度管理'!A:L,3,FALSE)</f>
        <v>98</v>
      </c>
      <c r="D48" s="4" t="s">
        <f>VLOOKUP(A:A,'全量进度管理'!A:L,4,FALSE)</f>
        <v>124</v>
      </c>
      <c r="E48" s="4" t="s">
        <f>VLOOKUP(A:A,'全量进度管理'!A:L,5,FALSE)</f>
        <v>125</v>
      </c>
      <c r="F48" s="4" t="s">
        <f>VLOOKUP(A:A,'全量进度管理'!A:L,6,FALSE)</f>
        <v>27</v>
      </c>
      <c r="G48" s="4" t="s">
        <f>VLOOKUP(A:A,'全量进度管理'!A:L,8,FALSE)</f>
        <v>125</v>
      </c>
      <c r="H48" s="4" t="s">
        <f>VLOOKUP(A:A,'全量进度管理'!A:L,9,FALSE)</f>
        <v>29</v>
      </c>
      <c r="J48" s="24"/>
    </row>
    <row r="49" ht="18" customHeight="1">
      <c r="A49" s="10" t="n">
        <v>47</v>
      </c>
      <c r="E49" s="4" t="s">
        <f>VLOOKUP(A:A,'全量进度管理'!A:L,5,FALSE)</f>
        <v>126</v>
      </c>
      <c r="F49" s="4" t="s">
        <f>VLOOKUP(A:A,'全量进度管理'!A:L,6,FALSE)</f>
        <v>27</v>
      </c>
      <c r="G49" s="4" t="s">
        <f>VLOOKUP(A:A,'全量进度管理'!A:L,8,FALSE)</f>
        <v>126</v>
      </c>
      <c r="H49" s="4" t="s">
        <f>VLOOKUP(A:A,'全量进度管理'!A:L,9,FALSE)</f>
        <v>29</v>
      </c>
      <c r="J49" s="24"/>
    </row>
    <row r="50" ht="18" customHeight="1">
      <c r="A50" s="10" t="n">
        <v>63</v>
      </c>
      <c r="B50" s="4" t="s">
        <f>VLOOKUP(A:A,'全量进度管理'!A:L,2,FALSE)</f>
        <v>127</v>
      </c>
      <c r="C50" s="4" t="s">
        <f>VLOOKUP(A:A,'全量进度管理'!A:L,3,FALSE)</f>
        <v>128</v>
      </c>
      <c r="D50" s="4" t="s">
        <f>VLOOKUP(A:A,'全量进度管理'!A:L,4,FALSE)</f>
        <v>129</v>
      </c>
      <c r="E50" s="4" t="s">
        <f>VLOOKUP(A:A,'全量进度管理'!A:L,5,FALSE)</f>
        <v>130</v>
      </c>
      <c r="F50" s="4" t="s">
        <v>41</v>
      </c>
      <c r="G50" s="4" t="s">
        <f>VLOOKUP(A:A,'全量进度管理'!A:L,8,FALSE)</f>
        <v>131</v>
      </c>
      <c r="H50" s="4" t="s">
        <f>VLOOKUP(A:A,'全量进度管理'!A:L,9,FALSE)</f>
        <v>16</v>
      </c>
      <c r="I50" s="4" t="s">
        <f>VLOOKUP(A:A,'全量进度管理'!A:L,10,FALSE)</f>
        <v>132</v>
      </c>
      <c r="J50" s="24"/>
      <c r="K50" s="4" t="s">
        <f>VLOOKUP(A:A,'全量进度管理'!A:L,12,FALSE)</f>
        <v>22</v>
      </c>
    </row>
    <row r="51" ht="18" customHeight="1">
      <c r="A51" s="10" t="n">
        <v>64</v>
      </c>
      <c r="E51" s="4" t="s">
        <f>VLOOKUP(A:A,'全量进度管理'!A:L,5,FALSE)</f>
        <v>133</v>
      </c>
      <c r="F51" s="4" t="s">
        <v>41</v>
      </c>
      <c r="G51" s="4" t="s">
        <f>VLOOKUP(A:A,'全量进度管理'!A:L,8,FALSE)</f>
        <v>20</v>
      </c>
      <c r="H51" s="4" t="s">
        <f>VLOOKUP(A:A,'全量进度管理'!A:L,9,FALSE)</f>
        <v>21</v>
      </c>
      <c r="J51" s="24"/>
      <c r="K51" s="4" t="s">
        <f>VLOOKUP(A:A,'全量进度管理'!A:L,12,FALSE)</f>
        <v>22</v>
      </c>
    </row>
  </sheetData>
  <autoFilter ref="A1:K51"/>
  <mergeCells count="29">
    <mergeCell ref="B2:B5"/>
    <mergeCell ref="B6:B35"/>
    <mergeCell ref="B36:B49"/>
    <mergeCell ref="B50:B51"/>
    <mergeCell ref="C2:C5"/>
    <mergeCell ref="D2:D5"/>
    <mergeCell ref="C6:C9"/>
    <mergeCell ref="D6:D9"/>
    <mergeCell ref="C10:C11"/>
    <mergeCell ref="D10:D11"/>
    <mergeCell ref="C12:C13"/>
    <mergeCell ref="C14:C16"/>
    <mergeCell ref="D15:D16"/>
    <mergeCell ref="C17:C23"/>
    <mergeCell ref="D19:D22"/>
    <mergeCell ref="C24:C30"/>
    <mergeCell ref="D24:D26"/>
    <mergeCell ref="D28:D29"/>
    <mergeCell ref="C31:C35"/>
    <mergeCell ref="C38:C42"/>
    <mergeCell ref="D40:D42"/>
    <mergeCell ref="C43:C47"/>
    <mergeCell ref="D43:D44"/>
    <mergeCell ref="D46:D47"/>
    <mergeCell ref="C48:C49"/>
    <mergeCell ref="D48:D49"/>
    <mergeCell ref="C50:C51"/>
    <mergeCell ref="D50:D51"/>
    <mergeCell ref="D31:D34"/>
  </mergeCells>
  <phoneticPr fontId="1" type="noConversion"/>
  <conditionalFormatting sqref="E1">
    <cfRule priority="3" type="expression" dxfId="0">
      <formula>#REF!="全量交付"</formula>
    </cfRule>
  </conditionalFormatting>
  <conditionalFormatting sqref="B1 D1">
    <cfRule priority="3" type="expression" dxfId="0">
      <formula>#REF!="全量交付"</formula>
    </cfRule>
  </conditionalFormatting>
  <dataValidations count="2">
    <dataValidation type="list" allowBlank="1" showErrorMessage="1" sqref="F2:F51">
      <formula1>"高,中,低,非必须"</formula1>
    </dataValidation>
    <dataValidation type="list" allowBlank="1" showErrorMessage="1" sqref="H2:H51">
      <formula1>"基本满足,完全不满足,完全满足"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.748046875" customWidth="1"/>
    <col min="2" max="2" width="22.7490234375" customWidth="1"/>
    <col min="3" max="3" width="19.7490234375" customWidth="1"/>
    <col min="4" max="4" width="21.75" customWidth="1"/>
    <col min="5" max="5" width="21.123046875" customWidth="1"/>
    <col min="6" max="6" width="14.25" customWidth="1"/>
    <col min="7" max="7" width="40.7490234375" customWidth="1"/>
    <col min="8" max="8" width="16.623046875" customWidth="1"/>
    <col min="9" max="9" width="17.373046875" customWidth="1"/>
    <col min="10" max="10" width="12.873046875" customWidth="1"/>
  </cols>
  <sheetData>
    <row r="1" ht="16.5" customHeight="1">
      <c r="B1" s="54" t="s">
        <v>0</v>
      </c>
      <c r="C1" s="22" t="s">
        <v>1</v>
      </c>
      <c r="D1" s="22" t="s">
        <v>2</v>
      </c>
      <c r="E1" s="22" t="s">
        <v>3</v>
      </c>
      <c r="F1" s="14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</row>
    <row r="2" ht="18" customHeight="1">
      <c r="A2" s="10" t="n">
        <v>1</v>
      </c>
      <c r="B2" s="4" t="s">
        <f>VLOOKUP(A:A,'全量进度管理'!A:L,2,FALSE)</f>
        <v>10</v>
      </c>
      <c r="C2" s="4" t="s">
        <f>VLOOKUP(A:A,'全量进度管理'!A:L,3,FALSE)</f>
        <v>11</v>
      </c>
      <c r="D2" s="4" t="s">
        <f>VLOOKUP(A:A,'全量进度管理'!A:L,4,FALSE)</f>
        <v>12</v>
      </c>
      <c r="E2" s="4" t="s">
        <f>VLOOKUP(A:A,'全量进度管理'!A:L,5,FALSE)</f>
        <v>13</v>
      </c>
      <c r="F2" s="4" t="s">
        <f>VLOOKUP(A:A,'全量进度管理'!A:L,6,FALSE)</f>
        <v>27</v>
      </c>
      <c r="G2" s="4" t="s">
        <f>VLOOKUP(A:A,'全量进度管理'!A:L,8,FALSE)</f>
        <v>15</v>
      </c>
      <c r="H2" s="4" t="s">
        <f>VLOOKUP(A:A,'全量进度管理'!A:L,9,FALSE)</f>
        <v>16</v>
      </c>
      <c r="I2" s="4" t="s">
        <f>VLOOKUP(A:A,'全量进度管理'!A:L,10,FALSE)</f>
        <v>17</v>
      </c>
      <c r="J2" s="24" t="n">
        <f>VLOOKUP(A:A,'全量进度管理'!A:L,11,FALSE)</f>
        <v>46234</v>
      </c>
      <c r="K2" s="4" t="s">
        <f>VLOOKUP(A:A,'全量进度管理'!A:L,12,FALSE)</f>
        <v>18</v>
      </c>
    </row>
    <row r="3" ht="18" customHeight="1">
      <c r="A3" s="10" t="n">
        <v>2</v>
      </c>
      <c r="E3" s="4" t="s">
        <f>VLOOKUP(A:A,'全量进度管理'!A:L,5,FALSE)</f>
        <v>134</v>
      </c>
      <c r="F3" s="4" t="s">
        <f>VLOOKUP(A:A,'全量进度管理'!A:L,6,FALSE)</f>
        <v>50</v>
      </c>
      <c r="G3" s="4" t="s">
        <f>VLOOKUP(A:A,'全量进度管理'!A:L,8,FALSE)</f>
        <v>20</v>
      </c>
      <c r="H3" s="4" t="s">
        <f>VLOOKUP(A:A,'全量进度管理'!A:L,9,FALSE)</f>
        <v>21</v>
      </c>
      <c r="K3" s="4" t="s">
        <f>VLOOKUP(A:A,'全量进度管理'!A:L,12,FALSE)</f>
        <v>135</v>
      </c>
    </row>
    <row r="4" ht="18" customHeight="1">
      <c r="A4" s="10" t="n">
        <v>3</v>
      </c>
      <c r="E4" s="4" t="s">
        <f>VLOOKUP(A:A,'全量进度管理'!A:L,5,FALSE)</f>
        <v>19</v>
      </c>
      <c r="F4" s="4" t="s">
        <f>VLOOKUP(A:A,'全量进度管理'!A:L,6,FALSE)</f>
        <v>14</v>
      </c>
      <c r="G4" s="4" t="s">
        <f>VLOOKUP(A:A,'全量进度管理'!A:L,8,FALSE)</f>
        <v>20</v>
      </c>
      <c r="H4" s="4" t="s">
        <f>VLOOKUP(A:A,'全量进度管理'!A:L,9,FALSE)</f>
        <v>21</v>
      </c>
      <c r="K4" s="4" t="s">
        <f>VLOOKUP(A:A,'全量进度管理'!A:L,12,FALSE)</f>
        <v>22</v>
      </c>
    </row>
    <row r="5" ht="18" customHeight="1">
      <c r="A5" s="10" t="n">
        <v>4</v>
      </c>
      <c r="E5" s="4" t="s">
        <f>VLOOKUP(A:A,'全量进度管理'!A:L,5,FALSE)</f>
        <v>136</v>
      </c>
      <c r="F5" s="4" t="s">
        <v>14</v>
      </c>
      <c r="G5" s="4" t="s">
        <f>VLOOKUP(A:A,'全量进度管理'!A:L,8,FALSE)</f>
        <v>20</v>
      </c>
      <c r="H5" s="4" t="s">
        <f>VLOOKUP(A:A,'全量进度管理'!A:L,9,FALSE)</f>
        <v>21</v>
      </c>
      <c r="I5" s="4" t="s">
        <f>VLOOKUP(A:A,'全量进度管理'!A:L,10,FALSE)</f>
        <v>137</v>
      </c>
      <c r="J5" s="24"/>
      <c r="K5" s="4" t="s">
        <f>VLOOKUP(A:A,'全量进度管理'!A:L,12,FALSE)</f>
        <v>22</v>
      </c>
    </row>
    <row r="6" ht="18" customHeight="1">
      <c r="A6" s="10" t="n">
        <v>5</v>
      </c>
      <c r="B6" s="4" t="s">
        <f>VLOOKUP(A:A,'全量进度管理'!A:L,2,FALSE)</f>
        <v>23</v>
      </c>
      <c r="C6" s="4" t="s">
        <f>VLOOKUP(A:A,'全量进度管理'!A:L,3,FALSE)</f>
        <v>24</v>
      </c>
      <c r="D6" s="4" t="s">
        <f>VLOOKUP(A:A,'全量进度管理'!A:L,4,FALSE)</f>
        <v>25</v>
      </c>
      <c r="E6" s="4" t="s">
        <f>VLOOKUP(A:A,'全量进度管理'!A:L,5,FALSE)</f>
        <v>26</v>
      </c>
      <c r="F6" s="4" t="s">
        <f>VLOOKUP(A:A,'全量进度管理'!A:L,6,FALSE)</f>
        <v>27</v>
      </c>
      <c r="G6" s="4" t="s">
        <f>VLOOKUP(A:A,'全量进度管理'!A:L,8,FALSE)</f>
        <v>28</v>
      </c>
      <c r="H6" s="4" t="s">
        <f>VLOOKUP(A:A,'全量进度管理'!A:L,9,FALSE)</f>
        <v>29</v>
      </c>
      <c r="J6" s="24"/>
    </row>
    <row r="7" ht="18" customHeight="1">
      <c r="A7" s="10" t="n">
        <v>6</v>
      </c>
      <c r="E7" s="4" t="s">
        <f>VLOOKUP(A:A,'全量进度管理'!A:L,5,FALSE)</f>
        <v>138</v>
      </c>
      <c r="F7" s="4" t="s">
        <f>VLOOKUP(A:A,'全量进度管理'!A:L,6,FALSE)</f>
        <v>27</v>
      </c>
      <c r="G7" s="4" t="s">
        <f>VLOOKUP(A:A,'全量进度管理'!A:L,8,FALSE)</f>
        <v>139</v>
      </c>
      <c r="H7" s="4" t="s">
        <f>VLOOKUP(A:A,'全量进度管理'!A:L,9,FALSE)</f>
        <v>29</v>
      </c>
      <c r="I7" s="4" t="s">
        <f>VLOOKUP(A:A,'全量进度管理'!A:L,10,FALSE)</f>
        <v>140</v>
      </c>
      <c r="J7" s="24"/>
      <c r="K7" s="4" t="s">
        <f>VLOOKUP(A:A,'全量进度管理'!A:L,12,FALSE)</f>
        <v>22</v>
      </c>
    </row>
    <row r="8" ht="18" customHeight="1">
      <c r="A8" s="10" t="n">
        <v>7</v>
      </c>
      <c r="E8" s="4" t="s">
        <f>VLOOKUP(A:A,'全量进度管理'!A:L,5,FALSE)</f>
        <v>141</v>
      </c>
      <c r="F8" s="4" t="s">
        <f>VLOOKUP(A:A,'全量进度管理'!A:L,6,FALSE)</f>
        <v>27</v>
      </c>
      <c r="G8" s="4" t="s">
        <f>VLOOKUP(A:A,'全量进度管理'!A:L,8,FALSE)</f>
        <v>142</v>
      </c>
      <c r="H8" s="4" t="s">
        <f>VLOOKUP(A:A,'全量进度管理'!A:L,9,FALSE)</f>
        <v>16</v>
      </c>
      <c r="I8" s="4" t="s">
        <f>VLOOKUP(A:A,'全量进度管理'!A:L,10,FALSE)</f>
        <v>143</v>
      </c>
      <c r="J8" s="24"/>
      <c r="K8" s="4" t="s">
        <f>VLOOKUP(A:A,'全量进度管理'!A:L,12,FALSE)</f>
        <v>22</v>
      </c>
    </row>
    <row r="9" ht="18" customHeight="1">
      <c r="A9" s="10" t="n">
        <v>8</v>
      </c>
      <c r="E9" s="4" t="s">
        <f>VLOOKUP(A:A,'全量进度管理'!A:L,5,FALSE)</f>
        <v>30</v>
      </c>
      <c r="F9" s="4" t="s">
        <f>VLOOKUP(A:A,'全量进度管理'!A:L,6,FALSE)</f>
        <v>14</v>
      </c>
      <c r="G9" s="4" t="s">
        <f>VLOOKUP(A:A,'全量进度管理'!A:L,8,FALSE)</f>
        <v>20</v>
      </c>
      <c r="H9" s="4" t="s">
        <f>VLOOKUP(A:A,'全量进度管理'!A:L,9,FALSE)</f>
        <v>21</v>
      </c>
      <c r="I9" s="4" t="s">
        <f>VLOOKUP(A:A,'全量进度管理'!A:L,10,FALSE)</f>
        <v>31</v>
      </c>
      <c r="J9" s="24"/>
      <c r="K9" s="4" t="s">
        <f>VLOOKUP(A:A,'全量进度管理'!A:L,12,FALSE)</f>
        <v>22</v>
      </c>
    </row>
    <row r="10" ht="18" customHeight="1">
      <c r="A10" s="10" t="n">
        <v>9</v>
      </c>
      <c r="C10" s="4" t="s">
        <f>VLOOKUP(A:A,'全量进度管理'!A:L,3,FALSE)</f>
        <v>32</v>
      </c>
      <c r="D10" s="4" t="s">
        <f>VLOOKUP(A:A,'全量进度管理'!A:L,4,FALSE)</f>
        <v>33</v>
      </c>
      <c r="E10" s="4" t="s">
        <f>VLOOKUP(A:A,'全量进度管理'!A:L,5,FALSE)</f>
        <v>34</v>
      </c>
      <c r="F10" s="4" t="s">
        <f>VLOOKUP(A:A,'全量进度管理'!A:L,6,FALSE)</f>
        <v>27</v>
      </c>
      <c r="G10" s="4" t="s">
        <f>VLOOKUP(A:A,'全量进度管理'!A:L,8,FALSE)</f>
        <v>35</v>
      </c>
      <c r="H10" s="4" t="s">
        <f>VLOOKUP(A:A,'全量进度管理'!A:L,9,FALSE)</f>
        <v>29</v>
      </c>
      <c r="J10" s="24"/>
    </row>
    <row r="11" ht="18" customHeight="1">
      <c r="A11" s="10" t="n">
        <v>10</v>
      </c>
      <c r="E11" s="4" t="s">
        <f>VLOOKUP(A:A,'全量进度管理'!A:L,5,FALSE)</f>
        <v>36</v>
      </c>
      <c r="F11" s="4" t="s">
        <f>VLOOKUP(A:A,'全量进度管理'!A:L,6,FALSE)</f>
        <v>14</v>
      </c>
      <c r="G11" s="4" t="s">
        <f>VLOOKUP(A:A,'全量进度管理'!A:L,8,FALSE)</f>
        <v>20</v>
      </c>
      <c r="H11" s="4" t="s">
        <f>VLOOKUP(A:A,'全量进度管理'!A:L,9,FALSE)</f>
        <v>21</v>
      </c>
      <c r="I11" s="4" t="s">
        <f>VLOOKUP(A:A,'全量进度管理'!A:L,10,FALSE)</f>
        <v>37</v>
      </c>
      <c r="J11" s="24"/>
      <c r="K11" s="4" t="s">
        <f>VLOOKUP(A:A,'全量进度管理'!A:L,12,FALSE)</f>
        <v>22</v>
      </c>
    </row>
    <row r="12" ht="18" customHeight="1">
      <c r="A12" s="10" t="n">
        <v>11</v>
      </c>
      <c r="C12" s="4" t="s">
        <f>VLOOKUP(A:A,'全量进度管理'!A:L,3,FALSE)</f>
        <v>38</v>
      </c>
      <c r="D12" s="4" t="s">
        <f>VLOOKUP(A:A,'全量进度管理'!A:L,4,FALSE)</f>
        <v>39</v>
      </c>
      <c r="E12" s="4" t="s">
        <f>VLOOKUP(A:A,'全量进度管理'!A:L,5,FALSE)</f>
        <v>40</v>
      </c>
      <c r="F12" s="4" t="s">
        <f>VLOOKUP(A:A,'全量进度管理'!A:L,6,FALSE)</f>
        <v>41</v>
      </c>
      <c r="G12" s="4" t="s">
        <f>VLOOKUP(A:A,'全量进度管理'!A:L,8,FALSE)</f>
        <v>42</v>
      </c>
      <c r="H12" s="4" t="s">
        <f>VLOOKUP(A:A,'全量进度管理'!A:L,9,FALSE)</f>
        <v>16</v>
      </c>
      <c r="I12" s="4" t="s">
        <f>VLOOKUP(A:A,'全量进度管理'!A:L,10,FALSE)</f>
        <v>43</v>
      </c>
      <c r="J12" s="24"/>
    </row>
    <row r="13" ht="18" customHeight="1">
      <c r="A13" s="10" t="n">
        <v>12</v>
      </c>
      <c r="D13" s="4" t="s">
        <f>VLOOKUP(A:A,'全量进度管理'!A:L,4,FALSE)</f>
        <v>44</v>
      </c>
      <c r="E13" s="4" t="s">
        <f>VLOOKUP(A:A,'全量进度管理'!A:L,5,FALSE)</f>
        <v>45</v>
      </c>
      <c r="F13" s="4" t="s">
        <f>VLOOKUP(A:A,'全量进度管理'!A:L,6,FALSE)</f>
        <v>41</v>
      </c>
      <c r="G13" s="4" t="s">
        <f>VLOOKUP(A:A,'全量进度管理'!A:L,8,FALSE)</f>
        <v>46</v>
      </c>
      <c r="H13" s="4" t="s">
        <f>VLOOKUP(A:A,'全量进度管理'!A:L,9,FALSE)</f>
        <v>29</v>
      </c>
      <c r="J13" s="24"/>
    </row>
    <row r="14" ht="18" customHeight="1">
      <c r="A14" s="10" t="n">
        <v>13</v>
      </c>
      <c r="C14" s="4" t="s">
        <f>VLOOKUP(A:A,'全量进度管理'!A:L,3,FALSE)</f>
        <v>47</v>
      </c>
      <c r="D14" s="4" t="s">
        <f>VLOOKUP(A:A,'全量进度管理'!A:L,4,FALSE)</f>
        <v>48</v>
      </c>
      <c r="E14" s="4" t="s">
        <f>VLOOKUP(A:A,'全量进度管理'!A:L,5,FALSE)</f>
        <v>49</v>
      </c>
      <c r="F14" s="4" t="s">
        <f>VLOOKUP(A:A,'全量进度管理'!A:L,6,FALSE)</f>
        <v>50</v>
      </c>
      <c r="G14" s="4" t="s">
        <f>VLOOKUP(A:A,'全量进度管理'!A:L,8,FALSE)</f>
        <v>51</v>
      </c>
      <c r="H14" s="4" t="s">
        <f>VLOOKUP(A:A,'全量进度管理'!A:L,9,FALSE)</f>
        <v>29</v>
      </c>
      <c r="J14" s="24"/>
    </row>
    <row r="15" ht="18" customHeight="1">
      <c r="A15" s="10" t="n">
        <v>14</v>
      </c>
      <c r="D15" s="4" t="s">
        <f>VLOOKUP(A:A,'全量进度管理'!A:L,4,FALSE)</f>
        <v>52</v>
      </c>
      <c r="E15" s="4" t="s">
        <f>VLOOKUP(A:A,'全量进度管理'!A:L,5,FALSE)</f>
        <v>53</v>
      </c>
      <c r="F15" s="4" t="s">
        <f>VLOOKUP(A:A,'全量进度管理'!A:L,6,FALSE)</f>
        <v>27</v>
      </c>
      <c r="G15" s="4" t="s">
        <f>VLOOKUP(A:A,'全量进度管理'!A:L,8,FALSE)</f>
        <v>54</v>
      </c>
      <c r="H15" s="4" t="s">
        <f>VLOOKUP(A:A,'全量进度管理'!A:L,9,FALSE)</f>
        <v>29</v>
      </c>
      <c r="J15" s="24"/>
    </row>
    <row r="16" ht="18" customHeight="1">
      <c r="A16" s="10" t="n">
        <v>15</v>
      </c>
      <c r="E16" s="4" t="s">
        <f>VLOOKUP(A:A,'全量进度管理'!A:L,5,FALSE)</f>
        <v>55</v>
      </c>
      <c r="F16" s="4" t="s">
        <f>VLOOKUP(A:A,'全量进度管理'!A:L,6,FALSE)</f>
        <v>41</v>
      </c>
      <c r="G16" s="4" t="s">
        <f>VLOOKUP(A:A,'全量进度管理'!A:L,8,FALSE)</f>
        <v>56</v>
      </c>
      <c r="H16" s="4" t="s">
        <f>VLOOKUP(A:A,'全量进度管理'!A:L,9,FALSE)</f>
        <v>16</v>
      </c>
      <c r="J16" s="24"/>
      <c r="K16" s="4" t="s">
        <f>VLOOKUP(A:A,'全量进度管理'!A:L,12,FALSE)</f>
        <v>22</v>
      </c>
    </row>
    <row r="17" ht="18" customHeight="1">
      <c r="A17" s="10" t="n">
        <v>16</v>
      </c>
      <c r="C17" s="4" t="s">
        <f>VLOOKUP(A:A,'全量进度管理'!A:L,3,FALSE)</f>
        <v>57</v>
      </c>
      <c r="D17" s="4" t="s">
        <f>VLOOKUP(A:A,'全量进度管理'!A:L,4,FALSE)</f>
        <v>58</v>
      </c>
      <c r="E17" s="4" t="s">
        <f>VLOOKUP(A:A,'全量进度管理'!A:L,5,FALSE)</f>
        <v>59</v>
      </c>
      <c r="F17" s="4" t="s">
        <f>VLOOKUP(A:A,'全量进度管理'!A:L,6,FALSE)</f>
        <v>27</v>
      </c>
      <c r="G17" s="4" t="s">
        <f>VLOOKUP(A:A,'全量进度管理'!A:L,8,FALSE)</f>
        <v>60</v>
      </c>
      <c r="H17" s="4" t="s">
        <f>VLOOKUP(A:A,'全量进度管理'!A:L,9,FALSE)</f>
        <v>29</v>
      </c>
      <c r="J17" s="24"/>
    </row>
    <row r="18" ht="18" customHeight="1">
      <c r="A18" s="10" t="n">
        <v>17</v>
      </c>
      <c r="D18" s="4" t="s">
        <f>VLOOKUP(A:A,'全量进度管理'!A:L,4,FALSE)</f>
        <v>61</v>
      </c>
      <c r="E18" s="4" t="s">
        <f>VLOOKUP(A:A,'全量进度管理'!A:L,5,FALSE)</f>
        <v>62</v>
      </c>
      <c r="F18" s="4" t="s">
        <f>VLOOKUP(A:A,'全量进度管理'!A:L,6,FALSE)</f>
        <v>41</v>
      </c>
      <c r="G18" s="4" t="s">
        <f>VLOOKUP(A:A,'全量进度管理'!A:L,8,FALSE)</f>
        <v>63</v>
      </c>
      <c r="H18" s="4" t="s">
        <f>VLOOKUP(A:A,'全量进度管理'!A:L,9,FALSE)</f>
        <v>29</v>
      </c>
      <c r="J18" s="24"/>
    </row>
    <row r="19" ht="18" customHeight="1">
      <c r="A19" s="10" t="n">
        <v>18</v>
      </c>
      <c r="D19" s="4" t="s">
        <f>VLOOKUP(A:A,'全量进度管理'!A:L,4,FALSE)</f>
        <v>64</v>
      </c>
      <c r="E19" s="4" t="s">
        <f>VLOOKUP(A:A,'全量进度管理'!A:L,5,FALSE)</f>
        <v>65</v>
      </c>
      <c r="F19" s="4" t="s">
        <f>VLOOKUP(A:A,'全量进度管理'!A:L,6,FALSE)</f>
        <v>14</v>
      </c>
      <c r="G19" s="4" t="s">
        <f>VLOOKUP(A:A,'全量进度管理'!A:L,8,FALSE)</f>
        <v>66</v>
      </c>
      <c r="H19" s="4" t="s">
        <f>VLOOKUP(A:A,'全量进度管理'!A:L,9,FALSE)</f>
        <v>16</v>
      </c>
      <c r="I19" s="4" t="s">
        <f>VLOOKUP(A:A,'全量进度管理'!A:L,10,FALSE)</f>
        <v>67</v>
      </c>
      <c r="J19" s="24"/>
      <c r="K19" s="4" t="s">
        <f>VLOOKUP(A:A,'全量进度管理'!A:L,12,FALSE)</f>
        <v>22</v>
      </c>
    </row>
    <row r="20" ht="18" customHeight="1">
      <c r="A20" s="10" t="n">
        <v>19</v>
      </c>
      <c r="E20" s="4" t="s">
        <f>VLOOKUP(A:A,'全量进度管理'!A:L,5,FALSE)</f>
        <v>68</v>
      </c>
      <c r="F20" s="4" t="s">
        <f>VLOOKUP(A:A,'全量进度管理'!A:L,6,FALSE)</f>
        <v>41</v>
      </c>
      <c r="G20" s="4" t="s">
        <f>VLOOKUP(A:A,'全量进度管理'!A:L,8,FALSE)</f>
        <v>20</v>
      </c>
      <c r="H20" s="4" t="s">
        <f>VLOOKUP(A:A,'全量进度管理'!A:L,9,FALSE)</f>
        <v>21</v>
      </c>
      <c r="I20" s="4" t="s">
        <f>VLOOKUP(A:A,'全量进度管理'!A:L,10,FALSE)</f>
        <v>69</v>
      </c>
      <c r="J20" s="24" t="n">
        <f>VLOOKUP(A:A,'全量进度管理'!A:L,11,FALSE)</f>
        <v>46265</v>
      </c>
      <c r="K20" s="4" t="s">
        <f>VLOOKUP(A:A,'全量进度管理'!A:L,12,FALSE)</f>
        <v>70</v>
      </c>
    </row>
    <row r="21" ht="18" customHeight="1">
      <c r="A21" s="10" t="n">
        <v>20</v>
      </c>
      <c r="E21" s="4" t="s">
        <f>VLOOKUP(A:A,'全量进度管理'!A:L,5,FALSE)</f>
        <v>71</v>
      </c>
      <c r="F21" s="4" t="s">
        <f>VLOOKUP(A:A,'全量进度管理'!A:L,6,FALSE)</f>
        <v>41</v>
      </c>
      <c r="G21" s="4" t="s">
        <f>VLOOKUP(A:A,'全量进度管理'!A:L,8,FALSE)</f>
        <v>20</v>
      </c>
      <c r="H21" s="4" t="s">
        <f>VLOOKUP(A:A,'全量进度管理'!A:L,9,FALSE)</f>
        <v>21</v>
      </c>
      <c r="J21" s="24"/>
    </row>
    <row r="22" ht="18" customHeight="1">
      <c r="A22" s="10" t="n">
        <v>21</v>
      </c>
      <c r="E22" s="4" t="s">
        <f>VLOOKUP(A:A,'全量进度管理'!A:L,5,FALSE)</f>
        <v>72</v>
      </c>
      <c r="F22" s="4" t="s">
        <f>VLOOKUP(A:A,'全量进度管理'!A:L,6,FALSE)</f>
        <v>41</v>
      </c>
      <c r="G22" s="4" t="s">
        <f>VLOOKUP(A:A,'全量进度管理'!A:L,8,FALSE)</f>
        <v>20</v>
      </c>
      <c r="H22" s="4" t="s">
        <f>VLOOKUP(A:A,'全量进度管理'!A:L,9,FALSE)</f>
        <v>21</v>
      </c>
      <c r="J22" s="24"/>
    </row>
    <row r="23" ht="18" customHeight="1">
      <c r="A23" s="10" t="n">
        <v>22</v>
      </c>
      <c r="D23" s="4" t="s">
        <f>VLOOKUP(A:A,'全量进度管理'!A:L,4,FALSE)</f>
        <v>73</v>
      </c>
      <c r="E23" s="4" t="s">
        <f>VLOOKUP(A:A,'全量进度管理'!A:L,5,FALSE)</f>
        <v>74</v>
      </c>
      <c r="F23" s="4" t="s">
        <f>VLOOKUP(A:A,'全量进度管理'!A:L,6,FALSE)</f>
        <v>14</v>
      </c>
      <c r="G23" s="4" t="s">
        <f>VLOOKUP(A:A,'全量进度管理'!A:L,8,FALSE)</f>
        <v>75</v>
      </c>
      <c r="H23" s="4" t="s">
        <f>VLOOKUP(A:A,'全量进度管理'!A:L,9,FALSE)</f>
        <v>29</v>
      </c>
      <c r="J23" s="24"/>
    </row>
    <row r="24" ht="18" customHeight="1">
      <c r="A24" s="10" t="n">
        <v>23</v>
      </c>
      <c r="C24" s="4" t="s">
        <f>VLOOKUP(A:A,'全量进度管理'!A:L,3,FALSE)</f>
        <v>76</v>
      </c>
      <c r="D24" s="4" t="s">
        <f>VLOOKUP(A:A,'全量进度管理'!A:L,4,FALSE)</f>
        <v>77</v>
      </c>
      <c r="E24" s="4" t="s">
        <f>VLOOKUP(A:A,'全量进度管理'!A:L,5,FALSE)</f>
        <v>78</v>
      </c>
      <c r="F24" s="4" t="s">
        <f>VLOOKUP(A:A,'全量进度管理'!A:L,6,FALSE)</f>
        <v>27</v>
      </c>
      <c r="G24" s="4" t="s">
        <f>VLOOKUP(A:A,'全量进度管理'!A:L,8,FALSE)</f>
        <v>79</v>
      </c>
      <c r="H24" s="4" t="s">
        <f>VLOOKUP(A:A,'全量进度管理'!A:L,9,FALSE)</f>
        <v>29</v>
      </c>
      <c r="J24" s="24"/>
    </row>
    <row r="25" ht="18" customHeight="1">
      <c r="A25" s="10" t="n">
        <v>24</v>
      </c>
      <c r="E25" s="4" t="s">
        <f>VLOOKUP(A:A,'全量进度管理'!A:L,5,FALSE)</f>
        <v>80</v>
      </c>
      <c r="F25" s="4" t="s">
        <f>VLOOKUP(A:A,'全量进度管理'!A:L,6,FALSE)</f>
        <v>27</v>
      </c>
      <c r="G25" s="4" t="s">
        <f>VLOOKUP(A:A,'全量进度管理'!A:L,8,FALSE)</f>
        <v>81</v>
      </c>
      <c r="H25" s="4" t="s">
        <f>VLOOKUP(A:A,'全量进度管理'!A:L,9,FALSE)</f>
        <v>16</v>
      </c>
      <c r="I25" s="4" t="s">
        <f>VLOOKUP(A:A,'全量进度管理'!A:L,10,FALSE)</f>
        <v>82</v>
      </c>
      <c r="J25" s="24"/>
      <c r="K25" s="4" t="s">
        <f>VLOOKUP(A:A,'全量进度管理'!A:L,12,FALSE)</f>
        <v>22</v>
      </c>
    </row>
    <row r="26" ht="18" customHeight="1">
      <c r="A26" s="10" t="n">
        <v>25</v>
      </c>
      <c r="E26" s="4" t="s">
        <f>VLOOKUP(A:A,'全量进度管理'!A:L,5,FALSE)</f>
        <v>83</v>
      </c>
      <c r="F26" s="4" t="s">
        <f>VLOOKUP(A:A,'全量进度管理'!A:L,6,FALSE)</f>
        <v>27</v>
      </c>
      <c r="G26" s="4" t="s">
        <f>VLOOKUP(A:A,'全量进度管理'!A:L,8,FALSE)</f>
        <v>84</v>
      </c>
      <c r="H26" s="4" t="s">
        <f>VLOOKUP(A:A,'全量进度管理'!A:L,9,FALSE)</f>
        <v>29</v>
      </c>
      <c r="I26" s="4" t="s">
        <f>VLOOKUP(A:A,'全量进度管理'!A:L,10,FALSE)</f>
        <v>85</v>
      </c>
      <c r="J26" s="24"/>
      <c r="K26" s="4" t="s">
        <f>VLOOKUP(A:A,'全量进度管理'!A:L,12,FALSE)</f>
        <v>22</v>
      </c>
    </row>
    <row r="27" ht="18" customHeight="1">
      <c r="A27" s="10" t="n">
        <v>26</v>
      </c>
      <c r="D27" s="4" t="s">
        <f>VLOOKUP(A:A,'全量进度管理'!A:L,4,FALSE)</f>
        <v>86</v>
      </c>
      <c r="E27" s="4" t="s">
        <f>VLOOKUP(A:A,'全量进度管理'!A:L,5,FALSE)</f>
        <v>87</v>
      </c>
      <c r="F27" s="4" t="s">
        <f>VLOOKUP(A:A,'全量进度管理'!A:L,6,FALSE)</f>
        <v>41</v>
      </c>
      <c r="G27" s="4" t="s">
        <f>VLOOKUP(A:A,'全量进度管理'!A:L,8,FALSE)</f>
        <v>88</v>
      </c>
      <c r="H27" s="4" t="s">
        <f>VLOOKUP(A:A,'全量进度管理'!A:L,9,FALSE)</f>
        <v>16</v>
      </c>
      <c r="I27" s="4" t="s">
        <f>VLOOKUP(A:A,'全量进度管理'!A:L,10,FALSE)</f>
        <v>89</v>
      </c>
      <c r="J27" s="24"/>
      <c r="K27" s="4" t="s">
        <f>VLOOKUP(A:A,'全量进度管理'!A:L,12,FALSE)</f>
        <v>22</v>
      </c>
    </row>
    <row r="28" ht="18" customHeight="1">
      <c r="A28" s="10" t="n">
        <v>27</v>
      </c>
      <c r="D28" s="4" t="s">
        <f>VLOOKUP(A:A,'全量进度管理'!A:L,4,FALSE)</f>
        <v>90</v>
      </c>
      <c r="E28" s="4" t="s">
        <f>VLOOKUP(A:A,'全量进度管理'!A:L,5,FALSE)</f>
        <v>91</v>
      </c>
      <c r="F28" s="4" t="s">
        <f>VLOOKUP(A:A,'全量进度管理'!A:L,6,FALSE)</f>
        <v>27</v>
      </c>
      <c r="G28" s="4" t="s">
        <f>VLOOKUP(A:A,'全量进度管理'!A:L,8,FALSE)</f>
        <v>92</v>
      </c>
      <c r="H28" s="4" t="s">
        <f>VLOOKUP(A:A,'全量进度管理'!A:L,9,FALSE)</f>
        <v>29</v>
      </c>
      <c r="J28" s="24"/>
    </row>
    <row r="29" ht="18" customHeight="1">
      <c r="A29" s="10" t="n">
        <v>28</v>
      </c>
      <c r="E29" s="4" t="s">
        <f>VLOOKUP(A:A,'全量进度管理'!A:L,5,FALSE)</f>
        <v>93</v>
      </c>
      <c r="F29" s="4" t="s">
        <f>VLOOKUP(A:A,'全量进度管理'!A:L,6,FALSE)</f>
        <v>27</v>
      </c>
      <c r="G29" s="4" t="s">
        <f>VLOOKUP(A:A,'全量进度管理'!A:L,8,FALSE)</f>
        <v>94</v>
      </c>
      <c r="H29" s="4" t="s">
        <f>VLOOKUP(A:A,'全量进度管理'!A:L,9,FALSE)</f>
        <v>29</v>
      </c>
      <c r="J29" s="24"/>
    </row>
    <row r="30" ht="18" customHeight="1">
      <c r="A30" s="10" t="n">
        <v>29</v>
      </c>
      <c r="D30" s="4" t="s">
        <f>VLOOKUP(A:A,'全量进度管理'!A:L,4,FALSE)</f>
        <v>95</v>
      </c>
      <c r="E30" s="4" t="s">
        <f>VLOOKUP(A:A,'全量进度管理'!A:L,5,FALSE)</f>
        <v>96</v>
      </c>
      <c r="F30" s="4" t="s">
        <f>VLOOKUP(A:A,'全量进度管理'!A:L,6,FALSE)</f>
        <v>14</v>
      </c>
      <c r="G30" s="4" t="s">
        <f>VLOOKUP(A:A,'全量进度管理'!A:L,8,FALSE)</f>
        <v>20</v>
      </c>
      <c r="H30" s="4" t="s">
        <f>VLOOKUP(A:A,'全量进度管理'!A:L,9,FALSE)</f>
        <v>21</v>
      </c>
      <c r="I30" s="4" t="s">
        <f>VLOOKUP(A:A,'全量进度管理'!A:L,10,FALSE)</f>
        <v>97</v>
      </c>
      <c r="J30" s="24" t="n">
        <f>VLOOKUP(A:A,'全量进度管理'!A:L,11,FALSE)</f>
        <v>46265</v>
      </c>
      <c r="K30" s="4" t="s">
        <f>VLOOKUP(A:A,'全量进度管理'!A:L,12,FALSE)</f>
        <v>70</v>
      </c>
    </row>
    <row r="31" ht="18" customHeight="1">
      <c r="A31" s="10" t="n">
        <v>30</v>
      </c>
      <c r="C31" s="4" t="s">
        <f>VLOOKUP(A:A,'全量进度管理'!A:L,3,FALSE)</f>
        <v>98</v>
      </c>
      <c r="D31" s="4" t="s">
        <f>VLOOKUP(A:A,'全量进度管理'!A:L,4,FALSE)</f>
        <v>99</v>
      </c>
      <c r="E31" s="4" t="s">
        <f>VLOOKUP(A:A,'全量进度管理'!A:L,5,FALSE)</f>
        <v>100</v>
      </c>
      <c r="F31" s="4" t="s">
        <f>VLOOKUP(A:A,'全量进度管理'!A:L,6,FALSE)</f>
        <v>27</v>
      </c>
      <c r="G31" s="4" t="s">
        <f>VLOOKUP(A:A,'全量进度管理'!A:L,8,FALSE)</f>
        <v>101</v>
      </c>
      <c r="H31" s="4" t="s">
        <f>VLOOKUP(A:A,'全量进度管理'!A:L,9,FALSE)</f>
        <v>29</v>
      </c>
      <c r="J31" s="24"/>
    </row>
    <row r="32" ht="18" customHeight="1">
      <c r="A32" s="10" t="n">
        <v>31</v>
      </c>
      <c r="E32" s="4" t="s">
        <f>VLOOKUP(A:A,'全量进度管理'!A:L,5,FALSE)</f>
        <v>102</v>
      </c>
      <c r="F32" s="4" t="s">
        <f>VLOOKUP(A:A,'全量进度管理'!A:L,6,FALSE)</f>
        <v>41</v>
      </c>
      <c r="G32" s="4" t="s">
        <f>VLOOKUP(A:A,'全量进度管理'!A:L,8,FALSE)</f>
        <v>103</v>
      </c>
      <c r="H32" s="4" t="s">
        <f>VLOOKUP(A:A,'全量进度管理'!A:L,9,FALSE)</f>
        <v>29</v>
      </c>
      <c r="J32" s="24"/>
    </row>
    <row r="33" ht="18" customHeight="1">
      <c r="A33" s="10" t="n">
        <v>32</v>
      </c>
      <c r="E33" s="4" t="s">
        <f>VLOOKUP(A:A,'全量进度管理'!A:L,5,FALSE)</f>
        <v>144</v>
      </c>
      <c r="F33" s="4" t="s">
        <f>VLOOKUP(A:A,'全量进度管理'!A:L,6,FALSE)</f>
        <v>14</v>
      </c>
      <c r="G33" s="4" t="s">
        <f>VLOOKUP(A:A,'全量进度管理'!A:L,8,FALSE)</f>
        <v>20</v>
      </c>
      <c r="H33" s="4" t="s">
        <f>VLOOKUP(A:A,'全量进度管理'!A:L,9,FALSE)</f>
        <v>21</v>
      </c>
      <c r="I33" s="4" t="s">
        <f>VLOOKUP(A:A,'全量进度管理'!A:L,10,FALSE)</f>
        <v>145</v>
      </c>
      <c r="J33" s="24"/>
      <c r="K33" s="4" t="s">
        <f>VLOOKUP(A:A,'全量进度管理'!A:L,12,FALSE)</f>
        <v>22</v>
      </c>
    </row>
    <row r="34" ht="18" customHeight="1">
      <c r="A34" s="10" t="n">
        <v>65</v>
      </c>
      <c r="E34" s="4" t="s">
        <f>VLOOKUP(A:A,'全量进度管理'!A:L,5,FALSE)</f>
        <v>146</v>
      </c>
      <c r="F34" s="4" t="s">
        <f>VLOOKUP(A:A,'全量进度管理'!A:L,6,FALSE)</f>
        <v>41</v>
      </c>
      <c r="G34" s="4" t="s">
        <f>VLOOKUP(A:A,'全量进度管理'!A:L,8,FALSE)</f>
        <v>147</v>
      </c>
      <c r="H34" s="4" t="s">
        <f>VLOOKUP(A:A,'全量进度管理'!A:L,9,FALSE)</f>
        <v>16</v>
      </c>
      <c r="J34" s="24"/>
    </row>
    <row r="35" ht="18" customHeight="1">
      <c r="A35" s="10" t="n">
        <v>33</v>
      </c>
      <c r="D35" s="4" t="s">
        <f>VLOOKUP(A:A,'全量进度管理'!A:L,4,FALSE)</f>
        <v>104</v>
      </c>
      <c r="E35" s="4" t="s">
        <f>VLOOKUP(A:A,'全量进度管理'!A:L,5,FALSE)</f>
        <v>105</v>
      </c>
      <c r="F35" s="4" t="s">
        <f>VLOOKUP(A:A,'全量进度管理'!A:L,6,FALSE)</f>
        <v>27</v>
      </c>
      <c r="G35" s="4" t="s">
        <f>VLOOKUP(A:A,'全量进度管理'!A:L,8,FALSE)</f>
        <v>106</v>
      </c>
      <c r="H35" s="4" t="s">
        <f>VLOOKUP(A:A,'全量进度管理'!A:L,9,FALSE)</f>
        <v>29</v>
      </c>
      <c r="J35" s="24"/>
    </row>
    <row r="36" ht="18" customHeight="1">
      <c r="A36" s="10" t="n">
        <v>48</v>
      </c>
      <c r="B36" s="4" t="s">
        <f>VLOOKUP(A:A,'全量进度管理'!A:L,2,FALSE)</f>
        <v>148</v>
      </c>
      <c r="C36" s="4" t="s">
        <f>VLOOKUP(A:A,'全量进度管理'!A:L,3,FALSE)</f>
        <v>149</v>
      </c>
      <c r="D36" s="4" t="s">
        <f>VLOOKUP(A:A,'全量进度管理'!A:L,4,FALSE)</f>
        <v>150</v>
      </c>
      <c r="E36" s="4" t="s">
        <f>VLOOKUP(A:A,'全量进度管理'!A:L,5,FALSE)</f>
        <v>151</v>
      </c>
      <c r="F36" s="4" t="s">
        <f>VLOOKUP(A:A,'全量进度管理'!A:L,6,FALSE)</f>
        <v>27</v>
      </c>
      <c r="G36" s="4" t="s">
        <f>VLOOKUP(A:A,'全量进度管理'!A:L,8,FALSE)</f>
        <v>20</v>
      </c>
      <c r="H36" s="4" t="s">
        <f>VLOOKUP(A:A,'全量进度管理'!A:L,9,FALSE)</f>
        <v>21</v>
      </c>
      <c r="J36" s="24"/>
      <c r="K36" s="4" t="s">
        <f>VLOOKUP(A:A,'全量进度管理'!A:L,12,FALSE)</f>
        <v>22</v>
      </c>
    </row>
    <row r="37" ht="18" customHeight="1">
      <c r="A37" s="10" t="n">
        <v>49</v>
      </c>
      <c r="E37" s="4" t="s">
        <f>VLOOKUP(A:A,'全量进度管理'!A:L,5,FALSE)</f>
        <v>152</v>
      </c>
      <c r="F37" s="4" t="s">
        <f>VLOOKUP(A:A,'全量进度管理'!A:L,6,FALSE)</f>
        <v>27</v>
      </c>
      <c r="G37" s="4" t="s">
        <f>VLOOKUP(A:A,'全量进度管理'!A:L,8,FALSE)</f>
        <v>20</v>
      </c>
      <c r="H37" s="4" t="s">
        <f>VLOOKUP(A:A,'全量进度管理'!A:L,9,FALSE)</f>
        <v>21</v>
      </c>
      <c r="J37" s="24"/>
    </row>
    <row r="38" ht="18" customHeight="1">
      <c r="A38" s="10" t="n">
        <v>50</v>
      </c>
      <c r="E38" s="4" t="s">
        <f>VLOOKUP(A:A,'全量进度管理'!A:L,5,FALSE)</f>
        <v>153</v>
      </c>
      <c r="F38" s="4" t="s">
        <f>VLOOKUP(A:A,'全量进度管理'!A:L,6,FALSE)</f>
        <v>14</v>
      </c>
      <c r="G38" s="4" t="s">
        <f>VLOOKUP(A:A,'全量进度管理'!A:L,8,FALSE)</f>
        <v>20</v>
      </c>
      <c r="H38" s="4" t="s">
        <f>VLOOKUP(A:A,'全量进度管理'!A:L,9,FALSE)</f>
        <v>21</v>
      </c>
      <c r="J38" s="24"/>
      <c r="K38" s="4" t="s">
        <f>VLOOKUP(A:A,'全量进度管理'!A:L,12,FALSE)</f>
        <v>22</v>
      </c>
    </row>
    <row r="39" ht="18" customHeight="1">
      <c r="A39" s="10" t="n">
        <v>51</v>
      </c>
      <c r="E39" s="4" t="s">
        <f>VLOOKUP(A:A,'全量进度管理'!A:L,5,FALSE)</f>
        <v>154</v>
      </c>
      <c r="F39" s="4" t="s">
        <f>VLOOKUP(A:A,'全量进度管理'!A:L,6,FALSE)</f>
        <v>27</v>
      </c>
      <c r="H39" s="4" t="s">
        <f>VLOOKUP(A:A,'全量进度管理'!A:L,9,FALSE)</f>
        <v>21</v>
      </c>
      <c r="J39" s="24"/>
    </row>
    <row r="40" ht="18" customHeight="1">
      <c r="A40" s="10" t="n">
        <v>52</v>
      </c>
      <c r="C40" s="4" t="s">
        <f>VLOOKUP(A:A,'全量进度管理'!A:L,3,FALSE)</f>
        <v>24</v>
      </c>
      <c r="D40" s="4" t="s">
        <f>VLOOKUP(A:A,'全量进度管理'!A:L,4,FALSE)</f>
        <v>155</v>
      </c>
      <c r="E40" s="4" t="s">
        <f>VLOOKUP(A:A,'全量进度管理'!A:L,5,FALSE)</f>
        <v>156</v>
      </c>
      <c r="F40" s="4" t="s">
        <f>VLOOKUP(A:A,'全量进度管理'!A:L,6,FALSE)</f>
        <v>27</v>
      </c>
      <c r="G40" s="4" t="s">
        <f>VLOOKUP(A:A,'全量进度管理'!A:L,8,FALSE)</f>
        <v>20</v>
      </c>
      <c r="H40" s="4" t="s">
        <f>VLOOKUP(A:A,'全量进度管理'!A:L,9,FALSE)</f>
        <v>21</v>
      </c>
      <c r="J40" s="24"/>
      <c r="K40" s="4" t="s">
        <f>VLOOKUP(A:A,'全量进度管理'!A:L,12,FALSE)</f>
        <v>22</v>
      </c>
    </row>
    <row r="41" ht="18" customHeight="1">
      <c r="A41" s="10" t="n">
        <v>53</v>
      </c>
      <c r="D41" s="4" t="s">
        <f>VLOOKUP(A:A,'全量进度管理'!A:L,4,FALSE)</f>
        <v>157</v>
      </c>
      <c r="E41" s="4" t="s">
        <f>VLOOKUP(A:A,'全量进度管理'!A:L,5,FALSE)</f>
        <v>158</v>
      </c>
      <c r="F41" s="4" t="s">
        <f>VLOOKUP(A:A,'全量进度管理'!A:L,6,FALSE)</f>
        <v>41</v>
      </c>
      <c r="G41" s="4" t="s">
        <f>VLOOKUP(A:A,'全量进度管理'!A:L,8,FALSE)</f>
        <v>20</v>
      </c>
      <c r="H41" s="4" t="s">
        <f>VLOOKUP(A:A,'全量进度管理'!A:L,9,FALSE)</f>
        <v>21</v>
      </c>
      <c r="J41" s="24"/>
    </row>
    <row r="42" ht="18" customHeight="1">
      <c r="A42" s="10" t="n">
        <v>54</v>
      </c>
      <c r="C42" s="4" t="s">
        <f>VLOOKUP(A:A,'全量进度管理'!A:L,3,FALSE)</f>
        <v>38</v>
      </c>
      <c r="D42" s="4" t="s">
        <f>VLOOKUP(A:A,'全量进度管理'!A:L,4,FALSE)</f>
        <v>159</v>
      </c>
      <c r="E42" s="4" t="s">
        <f>VLOOKUP(A:A,'全量进度管理'!A:L,5,FALSE)</f>
        <v>160</v>
      </c>
      <c r="F42" s="4" t="s">
        <f>VLOOKUP(A:A,'全量进度管理'!A:L,6,FALSE)</f>
        <v>41</v>
      </c>
      <c r="G42" s="4" t="s">
        <f>VLOOKUP(A:A,'全量进度管理'!A:L,8,FALSE)</f>
        <v>20</v>
      </c>
      <c r="H42" s="4" t="s">
        <f>VLOOKUP(A:A,'全量进度管理'!A:L,9,FALSE)</f>
        <v>21</v>
      </c>
      <c r="J42" s="24"/>
    </row>
    <row r="43" ht="18" customHeight="1">
      <c r="A43" s="10" t="n">
        <v>55</v>
      </c>
      <c r="C43" s="4" t="s">
        <f>VLOOKUP(A:A,'全量进度管理'!A:L,3,FALSE)</f>
        <v>47</v>
      </c>
      <c r="D43" s="4" t="s">
        <f>VLOOKUP(A:A,'全量进度管理'!A:L,4,FALSE)</f>
        <v>161</v>
      </c>
      <c r="E43" s="4" t="s">
        <f>VLOOKUP(A:A,'全量进度管理'!A:L,5,FALSE)</f>
        <v>162</v>
      </c>
      <c r="F43" s="4" t="s">
        <f>VLOOKUP(A:A,'全量进度管理'!A:L,6,FALSE)</f>
        <v>27</v>
      </c>
      <c r="G43" s="4" t="s">
        <f>VLOOKUP(A:A,'全量进度管理'!A:L,8,FALSE)</f>
        <v>20</v>
      </c>
      <c r="H43" s="4" t="s">
        <f>VLOOKUP(A:A,'全量进度管理'!A:L,9,FALSE)</f>
        <v>21</v>
      </c>
      <c r="J43" s="24"/>
    </row>
    <row r="44" ht="18" customHeight="1">
      <c r="A44" s="10" t="n">
        <v>56</v>
      </c>
      <c r="C44" s="4" t="s">
        <f>VLOOKUP(A:A,'全量进度管理'!A:L,3,FALSE)</f>
        <v>163</v>
      </c>
      <c r="D44" s="4" t="s">
        <f>VLOOKUP(A:A,'全量进度管理'!A:L,4,FALSE)</f>
        <v>164</v>
      </c>
      <c r="E44" s="4" t="s">
        <f>VLOOKUP(A:A,'全量进度管理'!A:L,5,FALSE)</f>
        <v>165</v>
      </c>
      <c r="F44" s="4" t="s">
        <f>VLOOKUP(A:A,'全量进度管理'!A:L,6,FALSE)</f>
        <v>27</v>
      </c>
      <c r="H44" s="4" t="s">
        <f>VLOOKUP(A:A,'全量进度管理'!A:L,9,FALSE)</f>
        <v>21</v>
      </c>
      <c r="J44" s="24"/>
      <c r="K44" s="4" t="s">
        <f>VLOOKUP(A:A,'全量进度管理'!A:L,12,FALSE)</f>
        <v>22</v>
      </c>
    </row>
    <row r="45" ht="18" customHeight="1">
      <c r="A45" s="10" t="n">
        <v>57</v>
      </c>
      <c r="E45" s="4" t="s">
        <f>VLOOKUP(A:A,'全量进度管理'!A:L,5,FALSE)</f>
        <v>166</v>
      </c>
      <c r="F45" s="4" t="s">
        <f>VLOOKUP(A:A,'全量进度管理'!A:L,6,FALSE)</f>
        <v>27</v>
      </c>
      <c r="H45" s="4" t="s">
        <f>VLOOKUP(A:A,'全量进度管理'!A:L,9,FALSE)</f>
        <v>21</v>
      </c>
      <c r="J45" s="24"/>
      <c r="K45" s="4" t="s">
        <f>VLOOKUP(A:A,'全量进度管理'!A:L,12,FALSE)</f>
        <v>22</v>
      </c>
    </row>
    <row r="46" ht="18" customHeight="1">
      <c r="A46" s="10" t="n">
        <v>58</v>
      </c>
      <c r="E46" s="4" t="s">
        <f>VLOOKUP(A:A,'全量进度管理'!A:L,5,FALSE)</f>
        <v>167</v>
      </c>
      <c r="F46" s="4" t="s">
        <f>VLOOKUP(A:A,'全量进度管理'!A:L,6,FALSE)</f>
        <v>41</v>
      </c>
      <c r="H46" s="4" t="s">
        <f>VLOOKUP(A:A,'全量进度管理'!A:L,9,FALSE)</f>
        <v>21</v>
      </c>
      <c r="J46" s="24"/>
    </row>
    <row r="47" ht="18" customHeight="1">
      <c r="A47" s="10" t="n">
        <v>59</v>
      </c>
      <c r="C47" s="4" t="s">
        <f>VLOOKUP(A:A,'全量进度管理'!A:L,3,FALSE)</f>
        <v>76</v>
      </c>
      <c r="D47" s="4" t="s">
        <f>VLOOKUP(A:A,'全量进度管理'!A:L,4,FALSE)</f>
        <v>77</v>
      </c>
      <c r="E47" s="4" t="s">
        <f>VLOOKUP(A:A,'全量进度管理'!A:L,5,FALSE)</f>
        <v>168</v>
      </c>
      <c r="F47" s="4" t="s">
        <f>VLOOKUP(A:A,'全量进度管理'!A:L,6,FALSE)</f>
        <v>27</v>
      </c>
      <c r="H47" s="4" t="s">
        <f>VLOOKUP(A:A,'全量进度管理'!A:L,9,FALSE)</f>
        <v>21</v>
      </c>
      <c r="J47" s="24"/>
      <c r="K47" s="4" t="s">
        <f>VLOOKUP(A:A,'全量进度管理'!A:L,12,FALSE)</f>
        <v>22</v>
      </c>
    </row>
    <row r="48" ht="18" customHeight="1">
      <c r="A48" s="10" t="n">
        <v>60</v>
      </c>
      <c r="E48" s="4" t="s">
        <f>VLOOKUP(A:A,'全量进度管理'!A:L,5,FALSE)</f>
        <v>83</v>
      </c>
      <c r="F48" s="4" t="s">
        <f>VLOOKUP(A:A,'全量进度管理'!A:L,6,FALSE)</f>
        <v>27</v>
      </c>
      <c r="H48" s="4" t="s">
        <f>VLOOKUP(A:A,'全量进度管理'!A:L,9,FALSE)</f>
        <v>21</v>
      </c>
      <c r="J48" s="24"/>
    </row>
    <row r="49" ht="18" customHeight="1">
      <c r="A49" s="10" t="n">
        <v>61</v>
      </c>
      <c r="D49" s="4" t="s">
        <f>VLOOKUP(A:A,'全量进度管理'!A:L,4,FALSE)</f>
        <v>169</v>
      </c>
      <c r="E49" s="4" t="s">
        <f>VLOOKUP(A:A,'全量进度管理'!A:L,5,FALSE)</f>
        <v>169</v>
      </c>
      <c r="F49" s="4" t="s">
        <f>VLOOKUP(A:A,'全量进度管理'!A:L,6,FALSE)</f>
        <v>27</v>
      </c>
      <c r="H49" s="4" t="s">
        <f>VLOOKUP(A:A,'全量进度管理'!A:L,9,FALSE)</f>
        <v>21</v>
      </c>
      <c r="J49" s="24"/>
    </row>
    <row r="50" ht="18" customHeight="1">
      <c r="A50" s="10" t="n">
        <v>62</v>
      </c>
      <c r="D50" s="4" t="s">
        <f>VLOOKUP(A:A,'全量进度管理'!A:L,4,FALSE)</f>
        <v>170</v>
      </c>
      <c r="E50" s="4" t="s">
        <f>VLOOKUP(A:A,'全量进度管理'!A:L,5,FALSE)</f>
        <v>170</v>
      </c>
      <c r="F50" s="4" t="s">
        <f>VLOOKUP(A:A,'全量进度管理'!A:L,6,FALSE)</f>
        <v>27</v>
      </c>
      <c r="H50" s="4" t="s">
        <f>VLOOKUP(A:A,'全量进度管理'!A:L,9,FALSE)</f>
        <v>21</v>
      </c>
      <c r="J50" s="24"/>
      <c r="K50" s="4" t="s">
        <f>VLOOKUP(A:A,'全量进度管理'!A:L,12,FALSE)</f>
        <v>22</v>
      </c>
    </row>
    <row r="51" ht="18" customHeight="1">
      <c r="A51" s="10" t="n">
        <v>63</v>
      </c>
      <c r="B51" s="4" t="s">
        <f>VLOOKUP(A:A,'全量进度管理'!A:L,2,FALSE)</f>
        <v>127</v>
      </c>
      <c r="C51" s="4" t="s">
        <f>VLOOKUP(A:A,'全量进度管理'!A:L,3,FALSE)</f>
        <v>128</v>
      </c>
      <c r="D51" s="4" t="s">
        <f>VLOOKUP(A:A,'全量进度管理'!A:L,4,FALSE)</f>
        <v>129</v>
      </c>
      <c r="E51" s="4" t="s">
        <f>VLOOKUP(A:A,'全量进度管理'!A:L,5,FALSE)</f>
        <v>130</v>
      </c>
      <c r="F51" s="4" t="s">
        <f>VLOOKUP(A:A,'全量进度管理'!A:L,6,FALSE)</f>
        <v>27</v>
      </c>
      <c r="G51" s="4" t="s">
        <f>VLOOKUP(A:A,'全量进度管理'!A:L,8,FALSE)</f>
        <v>131</v>
      </c>
      <c r="H51" s="4" t="s">
        <f>VLOOKUP(A:A,'全量进度管理'!A:L,9,FALSE)</f>
        <v>16</v>
      </c>
      <c r="J51" s="24"/>
      <c r="K51" s="4" t="s">
        <f>VLOOKUP(A:A,'全量进度管理'!A:L,12,FALSE)</f>
        <v>22</v>
      </c>
    </row>
    <row r="52" ht="18" customHeight="1">
      <c r="A52" s="10" t="n">
        <v>64</v>
      </c>
      <c r="E52" s="4" t="s">
        <f>VLOOKUP(A:A,'全量进度管理'!A:L,5,FALSE)</f>
        <v>133</v>
      </c>
      <c r="F52" s="4" t="s">
        <f>VLOOKUP(A:A,'全量进度管理'!A:L,6,FALSE)</f>
        <v>27</v>
      </c>
      <c r="G52" s="4" t="s">
        <f>VLOOKUP(A:A,'全量进度管理'!A:L,8,FALSE)</f>
        <v>20</v>
      </c>
      <c r="H52" s="4" t="s">
        <f>VLOOKUP(A:A,'全量进度管理'!A:L,9,FALSE)</f>
        <v>21</v>
      </c>
      <c r="J52" s="24"/>
      <c r="K52" s="4" t="s">
        <f>VLOOKUP(A:A,'全量进度管理'!A:L,12,FALSE)</f>
        <v>22</v>
      </c>
    </row>
  </sheetData>
  <autoFilter ref="A1:K52"/>
  <mergeCells count="29">
    <mergeCell ref="B2:B5"/>
    <mergeCell ref="B6:B35"/>
    <mergeCell ref="C2:C5"/>
    <mergeCell ref="D2:D5"/>
    <mergeCell ref="C6:C9"/>
    <mergeCell ref="D6:D9"/>
    <mergeCell ref="C10:C11"/>
    <mergeCell ref="D10:D11"/>
    <mergeCell ref="C12:C13"/>
    <mergeCell ref="C14:C16"/>
    <mergeCell ref="D15:D16"/>
    <mergeCell ref="C17:C23"/>
    <mergeCell ref="D19:D22"/>
    <mergeCell ref="C24:C30"/>
    <mergeCell ref="D24:D26"/>
    <mergeCell ref="D28:D29"/>
    <mergeCell ref="C31:C35"/>
    <mergeCell ref="B51:B52"/>
    <mergeCell ref="B36:B50"/>
    <mergeCell ref="C36:C39"/>
    <mergeCell ref="D36:D39"/>
    <mergeCell ref="C40:C41"/>
    <mergeCell ref="C44:C46"/>
    <mergeCell ref="D44:D46"/>
    <mergeCell ref="C47:C50"/>
    <mergeCell ref="D47:D48"/>
    <mergeCell ref="C51:C52"/>
    <mergeCell ref="D51:D52"/>
    <mergeCell ref="D31:D34"/>
  </mergeCells>
  <phoneticPr fontId="1" type="noConversion"/>
  <conditionalFormatting sqref="E1">
    <cfRule priority="3" type="expression" dxfId="0">
      <formula>#REF!="全量交付"</formula>
    </cfRule>
  </conditionalFormatting>
  <conditionalFormatting sqref="B1 D1">
    <cfRule priority="3" type="expression" dxfId="0">
      <formula>#REF!="全量交付"</formula>
    </cfRule>
  </conditionalFormatting>
  <dataValidations count="2">
    <dataValidation type="list" allowBlank="1" showErrorMessage="1" sqref="F2:F52">
      <formula1>"高,中,低,非必须"</formula1>
    </dataValidation>
    <dataValidation type="list" allowBlank="1" showErrorMessage="1" sqref="H2:H52">
      <formula1>"基本满足,完全不满足,完全满足"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.9990234375" defaultRowHeight="16.5" customHeight="1"/>
  <cols>
    <col min="1" max="1" width="3.498046875" customWidth="1"/>
    <col min="2" max="2" width="25.5" customWidth="1"/>
    <col min="3" max="3" width="13.623046875" customWidth="1" style="19"/>
    <col min="4" max="4" width="20.373046875" customWidth="1" style="19"/>
    <col min="5" max="5" width="27.2490234375" customWidth="1" style="19"/>
    <col min="6" max="6" width="12.873046875" customWidth="1"/>
    <col min="7" max="7" width="16.875" customWidth="1" style="19"/>
    <col min="8" max="8" width="31.3740234375" customWidth="1" style="19"/>
    <col min="9" max="9" width="16.998046875" customWidth="1" style="30"/>
    <col min="10" max="10" width="25.623046875" customWidth="1" style="19"/>
    <col min="11" max="11" width="12.873046875" customWidth="1"/>
    <col min="12" max="12" width="13.125" customWidth="1"/>
  </cols>
  <sheetData>
    <row r="1" ht="9" customHeight="1"/>
    <row r="2" s="5" customFormat="1" ht="51.375" customHeight="1">
      <c r="A2" s="6"/>
      <c r="B2" s="52" t="s">
        <v>171</v>
      </c>
      <c r="C2" s="45"/>
      <c r="D2" s="45"/>
      <c r="E2" s="45"/>
      <c r="F2" s="46"/>
      <c r="G2" s="45"/>
      <c r="H2" s="45"/>
      <c r="I2" s="46"/>
      <c r="J2" s="45"/>
      <c r="K2" s="46"/>
      <c r="L2" s="59"/>
      <c r="M2" s="6"/>
      <c r="N2" s="6"/>
      <c r="O2" s="6"/>
      <c r="P2" s="6"/>
      <c r="Q2" s="6"/>
    </row>
    <row r="3" ht="6.75" customHeight="1">
      <c r="B3" s="53"/>
      <c r="C3" s="21"/>
      <c r="D3" s="21"/>
      <c r="E3" s="21"/>
      <c r="F3" s="8"/>
      <c r="G3" s="21"/>
      <c r="H3" s="21"/>
      <c r="I3" s="8"/>
      <c r="J3" s="21"/>
      <c r="K3" s="9"/>
      <c r="L3" s="60"/>
    </row>
    <row r="4" s="11" customFormat="1" ht="28.5" customHeight="1">
      <c r="A4" s="11" t="s">
        <v>172</v>
      </c>
      <c r="B4" s="54" t="s">
        <v>0</v>
      </c>
      <c r="C4" s="22" t="s">
        <v>1</v>
      </c>
      <c r="D4" s="22" t="s">
        <v>2</v>
      </c>
      <c r="E4" s="22" t="s">
        <v>3</v>
      </c>
      <c r="F4" s="14" t="s">
        <v>4</v>
      </c>
      <c r="G4" s="22" t="s">
        <v>173</v>
      </c>
      <c r="H4" s="22" t="s">
        <v>5</v>
      </c>
      <c r="I4" s="16" t="s">
        <v>6</v>
      </c>
      <c r="J4" s="22" t="s">
        <v>7</v>
      </c>
      <c r="K4" s="15" t="s">
        <v>8</v>
      </c>
      <c r="L4" s="61" t="s">
        <v>9</v>
      </c>
    </row>
    <row r="5" s="10" customFormat="1" ht="29.25" customHeight="1">
      <c r="A5" s="10" t="n">
        <v>1</v>
      </c>
      <c r="B5" s="55" t="s">
        <v>10</v>
      </c>
      <c r="C5" s="37" t="s">
        <v>11</v>
      </c>
      <c r="D5" s="25" t="s">
        <v>12</v>
      </c>
      <c r="E5" s="23" t="s">
        <v>13</v>
      </c>
      <c r="F5" s="12" t="s">
        <v>27</v>
      </c>
      <c r="G5" s="23" t="s">
        <v>174</v>
      </c>
      <c r="H5" s="23" t="s">
        <v>15</v>
      </c>
      <c r="I5" s="32" t="s">
        <v>16</v>
      </c>
      <c r="J5" s="23" t="s">
        <v>17</v>
      </c>
      <c r="K5" s="13" t="n">
        <v>46234</v>
      </c>
      <c r="L5" s="62" t="s">
        <v>18</v>
      </c>
    </row>
    <row r="6" s="10" customFormat="1" ht="29.25" customHeight="1">
      <c r="A6" s="10" t="n">
        <v>2</v>
      </c>
      <c r="B6" s="55"/>
      <c r="C6" s="38"/>
      <c r="D6" s="25"/>
      <c r="E6" s="23" t="s">
        <v>134</v>
      </c>
      <c r="F6" s="12" t="s">
        <v>50</v>
      </c>
      <c r="G6" s="23" t="s">
        <v>175</v>
      </c>
      <c r="H6" s="23" t="s">
        <v>20</v>
      </c>
      <c r="I6" s="32" t="s">
        <v>21</v>
      </c>
      <c r="J6" s="23"/>
      <c r="K6" s="13"/>
      <c r="L6" s="62" t="s">
        <v>135</v>
      </c>
    </row>
    <row r="7" s="10" customFormat="1" ht="29.25" customHeight="1">
      <c r="A7" s="10" t="n">
        <v>3</v>
      </c>
      <c r="B7" s="55"/>
      <c r="C7" s="39"/>
      <c r="D7" s="25"/>
      <c r="E7" s="23" t="s">
        <v>19</v>
      </c>
      <c r="F7" s="12" t="s">
        <v>14</v>
      </c>
      <c r="G7" s="23" t="s">
        <v>174</v>
      </c>
      <c r="H7" s="23" t="s">
        <v>20</v>
      </c>
      <c r="I7" s="32" t="s">
        <v>21</v>
      </c>
      <c r="J7" s="23"/>
      <c r="K7" s="13"/>
      <c r="L7" s="62" t="s">
        <v>22</v>
      </c>
    </row>
    <row r="8" s="10" customFormat="1" ht="29.25" customHeight="1">
      <c r="A8" s="10" t="n">
        <v>4</v>
      </c>
      <c r="B8" s="55"/>
      <c r="C8" s="39"/>
      <c r="D8" s="25"/>
      <c r="E8" s="23" t="s">
        <v>136</v>
      </c>
      <c r="F8" s="12" t="s">
        <v>27</v>
      </c>
      <c r="G8" s="23" t="s">
        <v>175</v>
      </c>
      <c r="H8" s="23" t="s">
        <v>20</v>
      </c>
      <c r="I8" s="32" t="s">
        <v>21</v>
      </c>
      <c r="J8" s="23" t="s">
        <v>137</v>
      </c>
      <c r="K8" s="13"/>
      <c r="L8" s="62" t="s">
        <v>22</v>
      </c>
    </row>
    <row r="9" s="10" customFormat="1" ht="29.25" customHeight="1">
      <c r="A9" s="10" t="n">
        <v>5</v>
      </c>
      <c r="B9" s="56" t="s">
        <v>23</v>
      </c>
      <c r="C9" s="41" t="s">
        <v>24</v>
      </c>
      <c r="D9" s="43" t="s">
        <v>25</v>
      </c>
      <c r="E9" s="23" t="s">
        <v>26</v>
      </c>
      <c r="F9" s="12" t="s">
        <v>27</v>
      </c>
      <c r="G9" s="23" t="s">
        <v>174</v>
      </c>
      <c r="H9" s="23" t="s">
        <v>28</v>
      </c>
      <c r="I9" s="32" t="s">
        <v>29</v>
      </c>
      <c r="J9" s="23"/>
      <c r="K9" s="13"/>
      <c r="L9" s="62"/>
    </row>
    <row r="10" s="10" customFormat="1" ht="29.25" customHeight="1">
      <c r="A10" s="10" t="n">
        <v>6</v>
      </c>
      <c r="B10" s="57"/>
      <c r="C10" s="40"/>
      <c r="D10" s="27"/>
      <c r="E10" s="23" t="s">
        <v>138</v>
      </c>
      <c r="F10" s="12" t="s">
        <v>27</v>
      </c>
      <c r="G10" s="23" t="s">
        <v>175</v>
      </c>
      <c r="H10" s="23" t="s">
        <v>139</v>
      </c>
      <c r="I10" s="32" t="s">
        <v>29</v>
      </c>
      <c r="J10" s="23" t="s">
        <v>140</v>
      </c>
      <c r="K10" s="13"/>
      <c r="L10" s="62" t="s">
        <v>22</v>
      </c>
    </row>
    <row r="11" s="10" customFormat="1" ht="29.25" customHeight="1">
      <c r="A11" s="10" t="n">
        <v>7</v>
      </c>
      <c r="B11" s="57"/>
      <c r="C11" s="40"/>
      <c r="D11" s="27"/>
      <c r="E11" s="23" t="s">
        <v>141</v>
      </c>
      <c r="F11" s="12" t="s">
        <v>27</v>
      </c>
      <c r="G11" s="23" t="s">
        <v>175</v>
      </c>
      <c r="H11" s="23" t="s">
        <v>142</v>
      </c>
      <c r="I11" s="32" t="s">
        <v>16</v>
      </c>
      <c r="J11" s="23" t="s">
        <v>143</v>
      </c>
      <c r="K11" s="13"/>
      <c r="L11" s="62" t="s">
        <v>22</v>
      </c>
    </row>
    <row r="12" s="10" customFormat="1" ht="29.25" customHeight="1">
      <c r="A12" s="10" t="n">
        <v>8</v>
      </c>
      <c r="B12" s="57"/>
      <c r="C12" s="42"/>
      <c r="D12" s="28"/>
      <c r="E12" s="23" t="s">
        <v>30</v>
      </c>
      <c r="F12" s="12" t="s">
        <v>14</v>
      </c>
      <c r="G12" s="23" t="s">
        <v>174</v>
      </c>
      <c r="H12" s="23" t="s">
        <v>20</v>
      </c>
      <c r="I12" s="32" t="s">
        <v>21</v>
      </c>
      <c r="J12" s="23" t="s">
        <v>31</v>
      </c>
      <c r="K12" s="13"/>
      <c r="L12" s="62" t="s">
        <v>22</v>
      </c>
    </row>
    <row r="13" s="10" customFormat="1" ht="29.25" customHeight="1">
      <c r="A13" s="10" t="n">
        <v>9</v>
      </c>
      <c r="B13" s="57"/>
      <c r="C13" s="41" t="s">
        <v>32</v>
      </c>
      <c r="D13" s="43" t="s">
        <v>33</v>
      </c>
      <c r="E13" s="23" t="s">
        <v>34</v>
      </c>
      <c r="F13" s="12" t="s">
        <v>27</v>
      </c>
      <c r="G13" s="23" t="s">
        <v>174</v>
      </c>
      <c r="H13" s="23" t="s">
        <v>35</v>
      </c>
      <c r="I13" s="32" t="s">
        <v>29</v>
      </c>
      <c r="J13" s="23"/>
      <c r="K13" s="13"/>
      <c r="L13" s="62"/>
    </row>
    <row r="14" s="10" customFormat="1" ht="29.25" customHeight="1">
      <c r="A14" s="10" t="n">
        <v>10</v>
      </c>
      <c r="B14" s="57"/>
      <c r="C14" s="40"/>
      <c r="D14" s="40"/>
      <c r="E14" s="23" t="s">
        <v>36</v>
      </c>
      <c r="F14" s="12" t="s">
        <v>14</v>
      </c>
      <c r="G14" s="23" t="s">
        <v>174</v>
      </c>
      <c r="H14" s="23" t="s">
        <v>20</v>
      </c>
      <c r="I14" s="32" t="s">
        <v>21</v>
      </c>
      <c r="J14" s="23" t="s">
        <v>37</v>
      </c>
      <c r="K14" s="13"/>
      <c r="L14" s="62" t="s">
        <v>22</v>
      </c>
    </row>
    <row r="15" s="10" customFormat="1" ht="29.25" customHeight="1">
      <c r="A15" s="10" t="n">
        <v>11</v>
      </c>
      <c r="B15" s="57"/>
      <c r="C15" s="41" t="s">
        <v>38</v>
      </c>
      <c r="D15" s="18" t="s">
        <v>39</v>
      </c>
      <c r="E15" s="23" t="s">
        <v>40</v>
      </c>
      <c r="F15" s="12" t="s">
        <v>41</v>
      </c>
      <c r="G15" s="23" t="s">
        <v>174</v>
      </c>
      <c r="H15" s="23" t="s">
        <v>42</v>
      </c>
      <c r="I15" s="32" t="s">
        <v>16</v>
      </c>
      <c r="J15" s="23" t="s">
        <v>43</v>
      </c>
      <c r="K15" s="13"/>
      <c r="L15" s="62"/>
    </row>
    <row r="16" s="10" customFormat="1" ht="29.25" customHeight="1">
      <c r="A16" s="10" t="n">
        <v>12</v>
      </c>
      <c r="B16" s="57"/>
      <c r="C16" s="42"/>
      <c r="D16" s="18" t="s">
        <v>44</v>
      </c>
      <c r="E16" s="23" t="s">
        <v>45</v>
      </c>
      <c r="F16" s="12" t="s">
        <v>41</v>
      </c>
      <c r="G16" s="23" t="s">
        <v>174</v>
      </c>
      <c r="H16" s="23" t="s">
        <v>46</v>
      </c>
      <c r="I16" s="32" t="s">
        <v>29</v>
      </c>
      <c r="J16" s="23"/>
      <c r="K16" s="13"/>
      <c r="L16" s="62"/>
    </row>
    <row r="17" s="10" customFormat="1" ht="29.25" customHeight="1">
      <c r="A17" s="10" t="n">
        <v>13</v>
      </c>
      <c r="B17" s="57"/>
      <c r="C17" s="41" t="s">
        <v>47</v>
      </c>
      <c r="D17" s="18" t="s">
        <v>48</v>
      </c>
      <c r="E17" s="23" t="s">
        <v>49</v>
      </c>
      <c r="F17" s="12" t="s">
        <v>50</v>
      </c>
      <c r="G17" s="23" t="s">
        <v>174</v>
      </c>
      <c r="H17" s="23" t="s">
        <v>51</v>
      </c>
      <c r="I17" s="32" t="s">
        <v>29</v>
      </c>
      <c r="J17" s="23"/>
      <c r="K17" s="13"/>
      <c r="L17" s="62"/>
    </row>
    <row r="18" s="10" customFormat="1" ht="29.25" customHeight="1">
      <c r="A18" s="10" t="n">
        <v>14</v>
      </c>
      <c r="B18" s="57"/>
      <c r="C18" s="40"/>
      <c r="D18" s="43" t="s">
        <v>52</v>
      </c>
      <c r="E18" s="23" t="s">
        <v>53</v>
      </c>
      <c r="F18" s="12" t="s">
        <v>27</v>
      </c>
      <c r="G18" s="23" t="s">
        <v>174</v>
      </c>
      <c r="H18" s="23" t="s">
        <v>54</v>
      </c>
      <c r="I18" s="32" t="s">
        <v>29</v>
      </c>
      <c r="J18" s="23"/>
      <c r="K18" s="13"/>
      <c r="L18" s="62"/>
    </row>
    <row r="19" s="10" customFormat="1" ht="29.25" customHeight="1">
      <c r="A19" s="10" t="n">
        <v>15</v>
      </c>
      <c r="B19" s="57"/>
      <c r="C19" s="40"/>
      <c r="D19" s="40"/>
      <c r="E19" s="23" t="s">
        <v>55</v>
      </c>
      <c r="F19" s="12" t="s">
        <v>41</v>
      </c>
      <c r="G19" s="23" t="s">
        <v>174</v>
      </c>
      <c r="H19" s="23" t="s">
        <v>56</v>
      </c>
      <c r="I19" s="32" t="s">
        <v>16</v>
      </c>
      <c r="J19" s="23"/>
      <c r="K19" s="13"/>
      <c r="L19" s="62" t="s">
        <v>22</v>
      </c>
    </row>
    <row r="20" s="10" customFormat="1" ht="29.25" customHeight="1">
      <c r="A20" s="10" t="n">
        <v>69</v>
      </c>
      <c r="B20" s="57"/>
      <c r="C20" s="40"/>
      <c r="D20" s="40"/>
      <c r="E20" s="23" t="s">
        <v>176</v>
      </c>
      <c r="F20" s="12" t="s">
        <v>41</v>
      </c>
      <c r="G20" s="23" t="s">
        <v>174</v>
      </c>
      <c r="H20" s="23"/>
      <c r="I20" s="32" t="s">
        <v>21</v>
      </c>
      <c r="J20" s="23" t="s">
        <v>177</v>
      </c>
      <c r="K20" s="13"/>
      <c r="L20" s="62"/>
    </row>
    <row r="21" s="10" customFormat="1" ht="29.25" customHeight="1">
      <c r="A21" s="10" t="n">
        <v>16</v>
      </c>
      <c r="B21" s="57"/>
      <c r="C21" s="41" t="s">
        <v>57</v>
      </c>
      <c r="D21" s="18" t="s">
        <v>58</v>
      </c>
      <c r="E21" s="23" t="s">
        <v>59</v>
      </c>
      <c r="F21" s="12" t="s">
        <v>27</v>
      </c>
      <c r="G21" s="23" t="s">
        <v>174</v>
      </c>
      <c r="H21" s="23" t="s">
        <v>60</v>
      </c>
      <c r="I21" s="32" t="s">
        <v>29</v>
      </c>
      <c r="J21" s="23"/>
      <c r="K21" s="13"/>
      <c r="L21" s="62"/>
    </row>
    <row r="22" s="10" customFormat="1" ht="29.25" customHeight="1">
      <c r="A22" s="10" t="n">
        <v>17</v>
      </c>
      <c r="B22" s="57"/>
      <c r="C22" s="40"/>
      <c r="D22" s="43" t="s">
        <v>61</v>
      </c>
      <c r="E22" s="23" t="s">
        <v>62</v>
      </c>
      <c r="F22" s="12" t="s">
        <v>41</v>
      </c>
      <c r="G22" s="23" t="s">
        <v>174</v>
      </c>
      <c r="H22" s="23" t="s">
        <v>63</v>
      </c>
      <c r="I22" s="32" t="s">
        <v>29</v>
      </c>
      <c r="J22" s="23"/>
      <c r="K22" s="13"/>
      <c r="L22" s="62"/>
    </row>
    <row r="23" s="10" customFormat="1" ht="29.25" customHeight="1">
      <c r="A23" s="10" t="n">
        <v>18</v>
      </c>
      <c r="B23" s="57"/>
      <c r="C23" s="40"/>
      <c r="D23" s="43" t="s">
        <v>64</v>
      </c>
      <c r="E23" s="23" t="s">
        <v>65</v>
      </c>
      <c r="F23" s="12" t="s">
        <v>14</v>
      </c>
      <c r="G23" s="23" t="s">
        <v>174</v>
      </c>
      <c r="H23" s="23" t="s">
        <v>66</v>
      </c>
      <c r="I23" s="32" t="s">
        <v>16</v>
      </c>
      <c r="J23" s="23" t="s">
        <v>67</v>
      </c>
      <c r="K23" s="13"/>
      <c r="L23" s="62" t="s">
        <v>22</v>
      </c>
    </row>
    <row r="24" s="10" customFormat="1" ht="29.25" customHeight="1">
      <c r="A24" s="10" t="n">
        <v>19</v>
      </c>
      <c r="B24" s="57"/>
      <c r="C24" s="40"/>
      <c r="D24" s="40"/>
      <c r="E24" s="23" t="s">
        <v>68</v>
      </c>
      <c r="F24" s="12" t="s">
        <v>41</v>
      </c>
      <c r="G24" s="23" t="s">
        <v>174</v>
      </c>
      <c r="H24" s="23" t="s">
        <v>20</v>
      </c>
      <c r="I24" s="32" t="s">
        <v>21</v>
      </c>
      <c r="J24" s="23" t="s">
        <v>69</v>
      </c>
      <c r="K24" s="13" t="n">
        <v>46265</v>
      </c>
      <c r="L24" s="62" t="s">
        <v>70</v>
      </c>
    </row>
    <row r="25" s="10" customFormat="1" ht="29.25" customHeight="1">
      <c r="A25" s="10" t="n">
        <v>20</v>
      </c>
      <c r="B25" s="57"/>
      <c r="C25" s="40"/>
      <c r="D25" s="40"/>
      <c r="E25" s="23" t="s">
        <v>71</v>
      </c>
      <c r="F25" s="12" t="s">
        <v>41</v>
      </c>
      <c r="G25" s="23" t="s">
        <v>174</v>
      </c>
      <c r="H25" s="23" t="s">
        <v>20</v>
      </c>
      <c r="I25" s="32" t="s">
        <v>21</v>
      </c>
      <c r="J25" s="23"/>
      <c r="K25" s="13"/>
      <c r="L25" s="62"/>
    </row>
    <row r="26" s="10" customFormat="1" ht="29.25" customHeight="1">
      <c r="A26" s="10" t="n">
        <v>21</v>
      </c>
      <c r="B26" s="57"/>
      <c r="C26" s="40"/>
      <c r="D26" s="40"/>
      <c r="E26" s="23" t="s">
        <v>72</v>
      </c>
      <c r="F26" s="12" t="s">
        <v>41</v>
      </c>
      <c r="G26" s="23" t="s">
        <v>174</v>
      </c>
      <c r="H26" s="23" t="s">
        <v>20</v>
      </c>
      <c r="I26" s="32" t="s">
        <v>21</v>
      </c>
      <c r="J26" s="23"/>
      <c r="K26" s="13"/>
      <c r="L26" s="62"/>
    </row>
    <row r="27" s="10" customFormat="1" ht="29.25" customHeight="1">
      <c r="A27" s="10" t="n">
        <v>22</v>
      </c>
      <c r="B27" s="57"/>
      <c r="C27" s="40"/>
      <c r="D27" s="18" t="s">
        <v>73</v>
      </c>
      <c r="E27" s="23" t="s">
        <v>74</v>
      </c>
      <c r="F27" s="12" t="s">
        <v>14</v>
      </c>
      <c r="G27" s="23" t="s">
        <v>174</v>
      </c>
      <c r="H27" s="23" t="s">
        <v>75</v>
      </c>
      <c r="I27" s="32" t="s">
        <v>29</v>
      </c>
      <c r="J27" s="23"/>
      <c r="K27" s="13"/>
      <c r="L27" s="62"/>
    </row>
    <row r="28" s="10" customFormat="1" ht="29.25" customHeight="1">
      <c r="A28" s="10" t="n">
        <v>23</v>
      </c>
      <c r="B28" s="57"/>
      <c r="C28" s="41" t="s">
        <v>76</v>
      </c>
      <c r="D28" s="43" t="s">
        <v>77</v>
      </c>
      <c r="E28" s="23" t="s">
        <v>78</v>
      </c>
      <c r="F28" s="12" t="s">
        <v>27</v>
      </c>
      <c r="G28" s="23" t="s">
        <v>174</v>
      </c>
      <c r="H28" s="23" t="s">
        <v>79</v>
      </c>
      <c r="I28" s="32" t="s">
        <v>29</v>
      </c>
      <c r="J28" s="23"/>
      <c r="K28" s="13"/>
      <c r="L28" s="62"/>
    </row>
    <row r="29" s="10" customFormat="1" ht="29.25" customHeight="1">
      <c r="A29" s="10" t="n">
        <v>24</v>
      </c>
      <c r="B29" s="57"/>
      <c r="C29" s="40"/>
      <c r="D29" s="40"/>
      <c r="E29" s="23" t="s">
        <v>80</v>
      </c>
      <c r="F29" s="12" t="s">
        <v>27</v>
      </c>
      <c r="G29" s="23" t="s">
        <v>174</v>
      </c>
      <c r="H29" s="23" t="s">
        <v>81</v>
      </c>
      <c r="I29" s="32" t="s">
        <v>16</v>
      </c>
      <c r="J29" s="23" t="s">
        <v>82</v>
      </c>
      <c r="K29" s="13"/>
      <c r="L29" s="62" t="s">
        <v>22</v>
      </c>
    </row>
    <row r="30" s="10" customFormat="1" ht="29.25" customHeight="1">
      <c r="A30" s="10" t="n">
        <v>25</v>
      </c>
      <c r="B30" s="57"/>
      <c r="C30" s="40"/>
      <c r="D30" s="40"/>
      <c r="E30" s="23" t="s">
        <v>83</v>
      </c>
      <c r="F30" s="12" t="s">
        <v>27</v>
      </c>
      <c r="G30" s="23" t="s">
        <v>174</v>
      </c>
      <c r="H30" s="23" t="s">
        <v>84</v>
      </c>
      <c r="I30" s="32" t="s">
        <v>29</v>
      </c>
      <c r="J30" s="23" t="s">
        <v>85</v>
      </c>
      <c r="K30" s="13"/>
      <c r="L30" s="62" t="s">
        <v>22</v>
      </c>
    </row>
    <row r="31" s="10" customFormat="1" ht="29.25" customHeight="1">
      <c r="A31" s="10" t="n">
        <v>68</v>
      </c>
      <c r="B31" s="57"/>
      <c r="C31" s="40"/>
      <c r="D31" s="40"/>
      <c r="E31" s="23" t="s">
        <v>178</v>
      </c>
      <c r="F31" s="12" t="s">
        <v>41</v>
      </c>
      <c r="G31" s="23" t="s">
        <v>174</v>
      </c>
      <c r="H31" s="23" t="s">
        <v>179</v>
      </c>
      <c r="I31" s="32" t="s">
        <v>16</v>
      </c>
      <c r="J31" s="23" t="s">
        <v>180</v>
      </c>
      <c r="K31" s="13"/>
      <c r="L31" s="62" t="s">
        <v>22</v>
      </c>
    </row>
    <row r="32" s="10" customFormat="1" ht="29.25" customHeight="1">
      <c r="A32" s="10" t="n">
        <v>26</v>
      </c>
      <c r="B32" s="57"/>
      <c r="C32" s="40"/>
      <c r="D32" s="18" t="s">
        <v>86</v>
      </c>
      <c r="E32" s="23" t="s">
        <v>87</v>
      </c>
      <c r="F32" s="12" t="s">
        <v>41</v>
      </c>
      <c r="G32" s="23" t="s">
        <v>174</v>
      </c>
      <c r="H32" s="23" t="s">
        <v>88</v>
      </c>
      <c r="I32" s="32" t="s">
        <v>16</v>
      </c>
      <c r="J32" s="23" t="s">
        <v>89</v>
      </c>
      <c r="K32" s="13"/>
      <c r="L32" s="62" t="s">
        <v>22</v>
      </c>
    </row>
    <row r="33" s="10" customFormat="1" ht="29.25" customHeight="1">
      <c r="A33" s="10" t="n">
        <v>27</v>
      </c>
      <c r="B33" s="57"/>
      <c r="C33" s="40"/>
      <c r="D33" s="43" t="s">
        <v>90</v>
      </c>
      <c r="E33" s="23" t="s">
        <v>91</v>
      </c>
      <c r="F33" s="12" t="s">
        <v>27</v>
      </c>
      <c r="G33" s="23" t="s">
        <v>174</v>
      </c>
      <c r="H33" s="23" t="s">
        <v>92</v>
      </c>
      <c r="I33" s="32" t="s">
        <v>29</v>
      </c>
      <c r="J33" s="23"/>
      <c r="K33" s="13"/>
      <c r="L33" s="62"/>
    </row>
    <row r="34" s="10" customFormat="1" ht="29.25" customHeight="1">
      <c r="A34" s="10" t="n">
        <v>28</v>
      </c>
      <c r="B34" s="57"/>
      <c r="C34" s="40"/>
      <c r="D34" s="40"/>
      <c r="E34" s="23" t="s">
        <v>93</v>
      </c>
      <c r="F34" s="12" t="s">
        <v>27</v>
      </c>
      <c r="G34" s="23" t="s">
        <v>174</v>
      </c>
      <c r="H34" s="23" t="s">
        <v>94</v>
      </c>
      <c r="I34" s="32" t="s">
        <v>29</v>
      </c>
      <c r="J34" s="23"/>
      <c r="K34" s="13"/>
      <c r="L34" s="62"/>
    </row>
    <row r="35" s="10" customFormat="1" ht="29.25" customHeight="1">
      <c r="A35" s="10" t="n">
        <v>67</v>
      </c>
      <c r="B35" s="57"/>
      <c r="C35" s="42"/>
      <c r="D35" s="40"/>
      <c r="E35" s="23" t="s">
        <v>181</v>
      </c>
      <c r="F35" s="12" t="s">
        <v>14</v>
      </c>
      <c r="G35" s="23"/>
      <c r="H35" s="23" t="s">
        <v>20</v>
      </c>
      <c r="I35" s="32" t="s">
        <v>21</v>
      </c>
      <c r="J35" s="23" t="s">
        <v>181</v>
      </c>
      <c r="K35" s="13"/>
      <c r="L35" s="62"/>
    </row>
    <row r="36" s="10" customFormat="1" ht="29.25" customHeight="1">
      <c r="A36" s="10" t="n">
        <v>29</v>
      </c>
      <c r="B36" s="57"/>
      <c r="C36" s="42"/>
      <c r="D36" s="18" t="s">
        <v>95</v>
      </c>
      <c r="E36" s="23" t="s">
        <v>96</v>
      </c>
      <c r="F36" s="12" t="s">
        <v>14</v>
      </c>
      <c r="G36" s="23" t="s">
        <v>174</v>
      </c>
      <c r="H36" s="23" t="s">
        <v>20</v>
      </c>
      <c r="I36" s="32" t="s">
        <v>21</v>
      </c>
      <c r="J36" s="23" t="s">
        <v>97</v>
      </c>
      <c r="K36" s="13" t="n">
        <v>46265</v>
      </c>
      <c r="L36" s="62" t="s">
        <v>70</v>
      </c>
    </row>
    <row r="37" s="10" customFormat="1" ht="29.25" customHeight="1">
      <c r="A37" s="10" t="n">
        <v>30</v>
      </c>
      <c r="B37" s="57"/>
      <c r="C37" s="41" t="s">
        <v>98</v>
      </c>
      <c r="D37" s="43" t="s">
        <v>99</v>
      </c>
      <c r="E37" s="23" t="s">
        <v>100</v>
      </c>
      <c r="F37" s="12" t="s">
        <v>27</v>
      </c>
      <c r="G37" s="23" t="s">
        <v>174</v>
      </c>
      <c r="H37" s="23" t="s">
        <v>101</v>
      </c>
      <c r="I37" s="32" t="s">
        <v>29</v>
      </c>
      <c r="J37" s="23"/>
      <c r="K37" s="13"/>
      <c r="L37" s="62"/>
    </row>
    <row r="38" s="10" customFormat="1" ht="29.25" customHeight="1">
      <c r="A38" s="10" t="n">
        <v>31</v>
      </c>
      <c r="B38" s="57"/>
      <c r="C38" s="40"/>
      <c r="D38" s="40"/>
      <c r="E38" s="23" t="s">
        <v>102</v>
      </c>
      <c r="F38" s="12" t="s">
        <v>41</v>
      </c>
      <c r="G38" s="23" t="s">
        <v>174</v>
      </c>
      <c r="H38" s="23" t="s">
        <v>103</v>
      </c>
      <c r="I38" s="32" t="s">
        <v>29</v>
      </c>
      <c r="J38" s="23"/>
      <c r="K38" s="13"/>
      <c r="L38" s="62"/>
    </row>
    <row r="39" s="10" customFormat="1" ht="29.25" customHeight="1">
      <c r="A39" s="10" t="n">
        <v>32</v>
      </c>
      <c r="B39" s="57"/>
      <c r="C39" s="40"/>
      <c r="D39" s="40"/>
      <c r="E39" s="23" t="s">
        <v>144</v>
      </c>
      <c r="F39" s="12" t="s">
        <v>14</v>
      </c>
      <c r="G39" s="23" t="s">
        <v>175</v>
      </c>
      <c r="H39" s="23" t="s">
        <v>20</v>
      </c>
      <c r="I39" s="32" t="s">
        <v>21</v>
      </c>
      <c r="J39" s="23" t="s">
        <v>145</v>
      </c>
      <c r="K39" s="13"/>
      <c r="L39" s="62" t="s">
        <v>22</v>
      </c>
    </row>
    <row r="40" s="10" customFormat="1" ht="29.25" customHeight="1">
      <c r="A40" s="10" t="n">
        <v>66</v>
      </c>
      <c r="B40" s="57"/>
      <c r="C40" s="40"/>
      <c r="D40" s="40"/>
      <c r="E40" s="23" t="s">
        <v>182</v>
      </c>
      <c r="F40" s="12" t="s">
        <v>41</v>
      </c>
      <c r="G40" s="23" t="s">
        <v>183</v>
      </c>
      <c r="H40" s="23" t="s">
        <v>184</v>
      </c>
      <c r="I40" s="32" t="s">
        <v>16</v>
      </c>
      <c r="J40" s="23" t="s">
        <v>185</v>
      </c>
      <c r="K40" s="13"/>
      <c r="L40" s="62"/>
    </row>
    <row r="41" s="10" customFormat="1" ht="29.25" customHeight="1">
      <c r="A41" s="10" t="n">
        <v>65</v>
      </c>
      <c r="B41" s="57"/>
      <c r="C41" s="40"/>
      <c r="D41" s="40"/>
      <c r="E41" s="23" t="s">
        <v>146</v>
      </c>
      <c r="F41" s="12" t="s">
        <v>41</v>
      </c>
      <c r="G41" s="23" t="s">
        <v>175</v>
      </c>
      <c r="H41" s="23" t="s">
        <v>147</v>
      </c>
      <c r="I41" s="32" t="s">
        <v>16</v>
      </c>
      <c r="J41" s="23"/>
      <c r="K41" s="13"/>
      <c r="L41" s="62"/>
    </row>
    <row r="42" s="10" customFormat="1" ht="29.25" customHeight="1">
      <c r="A42" s="10" t="n">
        <v>33</v>
      </c>
      <c r="B42" s="57"/>
      <c r="C42" s="40"/>
      <c r="D42" s="18" t="s">
        <v>104</v>
      </c>
      <c r="E42" s="23" t="s">
        <v>105</v>
      </c>
      <c r="F42" s="12" t="s">
        <v>27</v>
      </c>
      <c r="G42" s="23" t="s">
        <v>174</v>
      </c>
      <c r="H42" s="23" t="s">
        <v>106</v>
      </c>
      <c r="I42" s="32" t="s">
        <v>29</v>
      </c>
      <c r="J42" s="23"/>
      <c r="K42" s="13"/>
      <c r="L42" s="62"/>
    </row>
    <row r="43" s="10" customFormat="1" ht="29.25" customHeight="1">
      <c r="A43" s="10" t="n">
        <v>34</v>
      </c>
      <c r="B43" s="56" t="s">
        <v>107</v>
      </c>
      <c r="C43" s="23" t="s">
        <v>38</v>
      </c>
      <c r="D43" s="18" t="s">
        <v>108</v>
      </c>
      <c r="E43" s="23" t="s">
        <v>109</v>
      </c>
      <c r="F43" s="12" t="s">
        <v>27</v>
      </c>
      <c r="G43" s="23" t="s">
        <v>186</v>
      </c>
      <c r="H43" s="23" t="s">
        <v>110</v>
      </c>
      <c r="I43" s="32" t="s">
        <v>16</v>
      </c>
      <c r="J43" s="23" t="s">
        <v>111</v>
      </c>
      <c r="K43" s="13"/>
      <c r="L43" s="62" t="s">
        <v>22</v>
      </c>
    </row>
    <row r="44" s="10" customFormat="1" ht="29.25" customHeight="1">
      <c r="A44" s="10" t="n">
        <v>35</v>
      </c>
      <c r="B44" s="57"/>
      <c r="C44" s="41" t="s">
        <v>47</v>
      </c>
      <c r="D44" s="43" t="s">
        <v>52</v>
      </c>
      <c r="E44" s="23" t="s">
        <v>53</v>
      </c>
      <c r="F44" s="12" t="s">
        <v>27</v>
      </c>
      <c r="G44" s="23" t="s">
        <v>186</v>
      </c>
      <c r="H44" s="23" t="s">
        <v>54</v>
      </c>
      <c r="I44" s="32" t="s">
        <v>29</v>
      </c>
      <c r="J44" s="23"/>
      <c r="K44" s="13"/>
      <c r="L44" s="62"/>
    </row>
    <row r="45" s="10" customFormat="1" ht="29.25" customHeight="1">
      <c r="A45" s="10" t="n">
        <v>36</v>
      </c>
      <c r="B45" s="57"/>
      <c r="C45" s="41" t="s">
        <v>57</v>
      </c>
      <c r="D45" s="43" t="s">
        <v>61</v>
      </c>
      <c r="E45" s="23" t="s">
        <v>62</v>
      </c>
      <c r="F45" s="12" t="s">
        <v>41</v>
      </c>
      <c r="G45" s="23" t="s">
        <v>186</v>
      </c>
      <c r="H45" s="23" t="s">
        <v>20</v>
      </c>
      <c r="I45" s="32" t="s">
        <v>21</v>
      </c>
      <c r="J45" s="23" t="s">
        <v>63</v>
      </c>
      <c r="K45" s="13" t="n">
        <v>46203</v>
      </c>
      <c r="L45" s="62" t="s">
        <v>18</v>
      </c>
    </row>
    <row r="46" s="10" customFormat="1" ht="29.25" customHeight="1">
      <c r="A46" s="10" t="n">
        <v>37</v>
      </c>
      <c r="B46" s="57"/>
      <c r="C46" s="40"/>
      <c r="D46" s="18" t="s">
        <v>58</v>
      </c>
      <c r="E46" s="23" t="s">
        <v>58</v>
      </c>
      <c r="F46" s="12" t="s">
        <v>41</v>
      </c>
      <c r="G46" s="23" t="s">
        <v>186</v>
      </c>
      <c r="H46" s="23" t="s">
        <v>112</v>
      </c>
      <c r="I46" s="32" t="s">
        <v>16</v>
      </c>
      <c r="J46" s="64" t="s">
        <v>113</v>
      </c>
      <c r="K46" s="13"/>
      <c r="L46" s="62"/>
    </row>
    <row r="47" s="10" customFormat="1" ht="29.25" customHeight="1">
      <c r="A47" s="10" t="n">
        <v>38</v>
      </c>
      <c r="B47" s="57"/>
      <c r="C47" s="40"/>
      <c r="D47" s="43" t="s">
        <v>64</v>
      </c>
      <c r="E47" s="23" t="s">
        <v>68</v>
      </c>
      <c r="F47" s="12" t="s">
        <v>41</v>
      </c>
      <c r="G47" s="23" t="s">
        <v>186</v>
      </c>
      <c r="H47" s="23" t="s">
        <v>20</v>
      </c>
      <c r="I47" s="32" t="s">
        <v>21</v>
      </c>
      <c r="J47" s="23" t="s">
        <v>69</v>
      </c>
      <c r="K47" s="13" t="n">
        <v>46265</v>
      </c>
      <c r="L47" s="62" t="s">
        <v>70</v>
      </c>
    </row>
    <row r="48" s="10" customFormat="1" ht="29.25" customHeight="1">
      <c r="A48" s="10" t="n">
        <v>39</v>
      </c>
      <c r="B48" s="57"/>
      <c r="C48" s="40"/>
      <c r="D48" s="40"/>
      <c r="E48" s="23" t="s">
        <v>71</v>
      </c>
      <c r="F48" s="12" t="s">
        <v>14</v>
      </c>
      <c r="G48" s="23" t="s">
        <v>186</v>
      </c>
      <c r="H48" s="23" t="s">
        <v>20</v>
      </c>
      <c r="I48" s="32" t="s">
        <v>21</v>
      </c>
      <c r="J48" s="23"/>
      <c r="K48" s="13"/>
      <c r="L48" s="62"/>
    </row>
    <row r="49" s="10" customFormat="1" ht="29.25" customHeight="1">
      <c r="A49" s="10" t="n">
        <v>40</v>
      </c>
      <c r="B49" s="57"/>
      <c r="C49" s="40"/>
      <c r="D49" s="42"/>
      <c r="E49" s="23" t="s">
        <v>72</v>
      </c>
      <c r="F49" s="12" t="s">
        <v>50</v>
      </c>
      <c r="G49" s="23" t="s">
        <v>186</v>
      </c>
      <c r="H49" s="23" t="s">
        <v>20</v>
      </c>
      <c r="I49" s="32" t="s">
        <v>21</v>
      </c>
      <c r="J49" s="23"/>
      <c r="K49" s="13"/>
      <c r="L49" s="62"/>
    </row>
    <row r="50" s="10" customFormat="1" ht="29.25" customHeight="1">
      <c r="A50" s="10" t="n">
        <v>41</v>
      </c>
      <c r="B50" s="57"/>
      <c r="C50" s="41" t="s">
        <v>76</v>
      </c>
      <c r="D50" s="43" t="s">
        <v>114</v>
      </c>
      <c r="E50" s="23" t="s">
        <v>115</v>
      </c>
      <c r="F50" s="12" t="s">
        <v>27</v>
      </c>
      <c r="G50" s="23" t="s">
        <v>186</v>
      </c>
      <c r="H50" s="23" t="s">
        <v>116</v>
      </c>
      <c r="I50" s="32" t="s">
        <v>29</v>
      </c>
      <c r="J50" s="23"/>
      <c r="K50" s="13"/>
      <c r="L50" s="62"/>
    </row>
    <row r="51" s="10" customFormat="1" ht="29.25" customHeight="1">
      <c r="A51" s="10" t="n">
        <v>42</v>
      </c>
      <c r="B51" s="57"/>
      <c r="C51" s="40"/>
      <c r="D51" s="40"/>
      <c r="E51" s="23" t="s">
        <v>117</v>
      </c>
      <c r="F51" s="12" t="s">
        <v>27</v>
      </c>
      <c r="G51" s="23" t="s">
        <v>186</v>
      </c>
      <c r="H51" s="23" t="s">
        <v>20</v>
      </c>
      <c r="I51" s="32" t="s">
        <v>21</v>
      </c>
      <c r="J51" s="23" t="s">
        <v>118</v>
      </c>
      <c r="K51" s="13" t="n">
        <v>46265</v>
      </c>
      <c r="L51" s="62" t="s">
        <v>70</v>
      </c>
    </row>
    <row r="52" s="10" customFormat="1" ht="29.25" customHeight="1">
      <c r="A52" s="10" t="n">
        <v>43</v>
      </c>
      <c r="B52" s="57"/>
      <c r="C52" s="40"/>
      <c r="D52" s="43" t="s">
        <v>119</v>
      </c>
      <c r="E52" s="23" t="s">
        <v>120</v>
      </c>
      <c r="F52" s="12" t="s">
        <v>41</v>
      </c>
      <c r="G52" s="23" t="s">
        <v>186</v>
      </c>
      <c r="H52" s="23" t="s">
        <v>20</v>
      </c>
      <c r="I52" s="32" t="s">
        <v>21</v>
      </c>
      <c r="J52" s="23" t="s">
        <v>121</v>
      </c>
      <c r="K52" s="13" t="n">
        <v>46234</v>
      </c>
      <c r="L52" s="62" t="s">
        <v>18</v>
      </c>
    </row>
    <row r="53" s="10" customFormat="1" ht="29.25" customHeight="1">
      <c r="A53" s="10" t="n">
        <v>44</v>
      </c>
      <c r="B53" s="57"/>
      <c r="C53" s="40"/>
      <c r="D53" s="43" t="s">
        <v>122</v>
      </c>
      <c r="E53" s="23" t="s">
        <v>115</v>
      </c>
      <c r="F53" s="12" t="s">
        <v>27</v>
      </c>
      <c r="G53" s="23" t="s">
        <v>186</v>
      </c>
      <c r="H53" s="23" t="s">
        <v>116</v>
      </c>
      <c r="I53" s="32" t="s">
        <v>29</v>
      </c>
      <c r="J53" s="23"/>
      <c r="K53" s="13"/>
      <c r="L53" s="62"/>
    </row>
    <row r="54" s="10" customFormat="1" ht="29.25" customHeight="1">
      <c r="A54" s="10" t="n">
        <v>45</v>
      </c>
      <c r="B54" s="57"/>
      <c r="C54" s="42"/>
      <c r="D54" s="40"/>
      <c r="E54" s="23" t="s">
        <v>117</v>
      </c>
      <c r="F54" s="12" t="s">
        <v>27</v>
      </c>
      <c r="G54" s="23" t="s">
        <v>186</v>
      </c>
      <c r="H54" s="23" t="s">
        <v>20</v>
      </c>
      <c r="I54" s="32" t="s">
        <v>21</v>
      </c>
      <c r="J54" s="23" t="s">
        <v>123</v>
      </c>
      <c r="K54" s="13"/>
      <c r="L54" s="62" t="s">
        <v>22</v>
      </c>
    </row>
    <row r="55" s="10" customFormat="1" ht="29.25" customHeight="1">
      <c r="A55" s="10" t="n">
        <v>46</v>
      </c>
      <c r="B55" s="57"/>
      <c r="C55" s="41" t="s">
        <v>98</v>
      </c>
      <c r="D55" s="43" t="s">
        <v>124</v>
      </c>
      <c r="E55" s="23" t="s">
        <v>125</v>
      </c>
      <c r="F55" s="12" t="s">
        <v>27</v>
      </c>
      <c r="G55" s="23" t="s">
        <v>186</v>
      </c>
      <c r="H55" s="23" t="s">
        <v>125</v>
      </c>
      <c r="I55" s="32" t="s">
        <v>29</v>
      </c>
      <c r="J55" s="23"/>
      <c r="K55" s="13"/>
      <c r="L55" s="62"/>
    </row>
    <row r="56" s="10" customFormat="1" ht="29.25" customHeight="1">
      <c r="A56" s="10" t="n">
        <v>47</v>
      </c>
      <c r="B56" s="57"/>
      <c r="C56" s="40"/>
      <c r="D56" s="40"/>
      <c r="E56" s="23" t="s">
        <v>126</v>
      </c>
      <c r="F56" s="12" t="s">
        <v>27</v>
      </c>
      <c r="G56" s="23" t="s">
        <v>186</v>
      </c>
      <c r="H56" s="23" t="s">
        <v>126</v>
      </c>
      <c r="I56" s="32" t="s">
        <v>29</v>
      </c>
      <c r="J56" s="23"/>
      <c r="K56" s="13"/>
      <c r="L56" s="62"/>
    </row>
    <row r="57" s="10" customFormat="1" ht="29.25" customHeight="1">
      <c r="A57" s="10" t="n">
        <v>48</v>
      </c>
      <c r="B57" s="35" t="s">
        <v>148</v>
      </c>
      <c r="C57" s="41" t="s">
        <v>149</v>
      </c>
      <c r="D57" s="43" t="s">
        <v>150</v>
      </c>
      <c r="E57" s="23" t="s">
        <v>151</v>
      </c>
      <c r="F57" s="12" t="s">
        <v>27</v>
      </c>
      <c r="G57" s="23" t="s">
        <v>187</v>
      </c>
      <c r="H57" s="23" t="s">
        <v>20</v>
      </c>
      <c r="I57" s="32" t="s">
        <v>21</v>
      </c>
      <c r="J57" s="23"/>
      <c r="K57" s="13"/>
      <c r="L57" s="62" t="s">
        <v>22</v>
      </c>
    </row>
    <row r="58" s="10" customFormat="1" ht="29.25" customHeight="1">
      <c r="A58" s="10" t="n">
        <v>49</v>
      </c>
      <c r="B58" s="57"/>
      <c r="C58" s="40"/>
      <c r="D58" s="40"/>
      <c r="E58" s="23" t="s">
        <v>152</v>
      </c>
      <c r="F58" s="12" t="s">
        <v>27</v>
      </c>
      <c r="G58" s="23" t="s">
        <v>187</v>
      </c>
      <c r="H58" s="23" t="s">
        <v>20</v>
      </c>
      <c r="I58" s="32" t="s">
        <v>21</v>
      </c>
      <c r="J58" s="23"/>
      <c r="K58" s="13"/>
      <c r="L58" s="62" t="s">
        <v>22</v>
      </c>
    </row>
    <row r="59" s="10" customFormat="1" ht="29.25" customHeight="1">
      <c r="A59" s="10" t="n">
        <v>50</v>
      </c>
      <c r="B59" s="57"/>
      <c r="C59" s="40"/>
      <c r="D59" s="40"/>
      <c r="E59" s="23" t="s">
        <v>153</v>
      </c>
      <c r="F59" s="12" t="s">
        <v>14</v>
      </c>
      <c r="G59" s="23" t="s">
        <v>187</v>
      </c>
      <c r="H59" s="23" t="s">
        <v>20</v>
      </c>
      <c r="I59" s="32" t="s">
        <v>21</v>
      </c>
      <c r="J59" s="23"/>
      <c r="K59" s="13"/>
      <c r="L59" s="62" t="s">
        <v>22</v>
      </c>
    </row>
    <row r="60" s="10" customFormat="1" ht="29.25" customHeight="1">
      <c r="A60" s="10" t="n">
        <v>51</v>
      </c>
      <c r="B60" s="57"/>
      <c r="C60" s="40"/>
      <c r="D60" s="40"/>
      <c r="E60" s="23" t="s">
        <v>154</v>
      </c>
      <c r="F60" s="12" t="s">
        <v>27</v>
      </c>
      <c r="G60" s="23" t="s">
        <v>187</v>
      </c>
      <c r="H60" s="23"/>
      <c r="I60" s="32" t="s">
        <v>21</v>
      </c>
      <c r="J60" s="23"/>
      <c r="K60" s="13"/>
      <c r="L60" s="62" t="s">
        <v>22</v>
      </c>
    </row>
    <row r="61" s="10" customFormat="1" ht="29.25" customHeight="1">
      <c r="A61" s="10" t="n">
        <v>52</v>
      </c>
      <c r="B61" s="57"/>
      <c r="C61" s="41" t="s">
        <v>24</v>
      </c>
      <c r="D61" s="43" t="s">
        <v>155</v>
      </c>
      <c r="E61" s="23" t="s">
        <v>156</v>
      </c>
      <c r="F61" s="12" t="s">
        <v>27</v>
      </c>
      <c r="G61" s="23" t="s">
        <v>187</v>
      </c>
      <c r="H61" s="23" t="s">
        <v>20</v>
      </c>
      <c r="I61" s="32" t="s">
        <v>21</v>
      </c>
      <c r="J61" s="23"/>
      <c r="K61" s="13"/>
      <c r="L61" s="62" t="s">
        <v>22</v>
      </c>
    </row>
    <row r="62" s="10" customFormat="1" ht="29.25" customHeight="1">
      <c r="A62" s="10" t="n">
        <v>53</v>
      </c>
      <c r="B62" s="57"/>
      <c r="C62" s="42"/>
      <c r="D62" s="43" t="s">
        <v>157</v>
      </c>
      <c r="E62" s="23" t="s">
        <v>158</v>
      </c>
      <c r="F62" s="12" t="s">
        <v>41</v>
      </c>
      <c r="G62" s="23" t="s">
        <v>187</v>
      </c>
      <c r="H62" s="23" t="s">
        <v>20</v>
      </c>
      <c r="I62" s="32" t="s">
        <v>21</v>
      </c>
      <c r="J62" s="23"/>
      <c r="K62" s="13"/>
      <c r="L62" s="62" t="s">
        <v>22</v>
      </c>
    </row>
    <row r="63" s="10" customFormat="1" ht="29.25" customHeight="1">
      <c r="A63" s="10" t="n">
        <v>54</v>
      </c>
      <c r="B63" s="57"/>
      <c r="C63" s="23" t="s">
        <v>38</v>
      </c>
      <c r="D63" s="43" t="s">
        <v>159</v>
      </c>
      <c r="E63" s="23" t="s">
        <v>160</v>
      </c>
      <c r="F63" s="12" t="s">
        <v>41</v>
      </c>
      <c r="G63" s="23" t="s">
        <v>187</v>
      </c>
      <c r="H63" s="23" t="s">
        <v>20</v>
      </c>
      <c r="I63" s="32" t="s">
        <v>21</v>
      </c>
      <c r="J63" s="23"/>
      <c r="K63" s="13"/>
      <c r="L63" s="62" t="s">
        <v>22</v>
      </c>
    </row>
    <row r="64" s="10" customFormat="1" ht="29.25" customHeight="1">
      <c r="A64" s="10" t="n">
        <v>55</v>
      </c>
      <c r="B64" s="57"/>
      <c r="C64" s="23" t="s">
        <v>47</v>
      </c>
      <c r="D64" s="43" t="s">
        <v>161</v>
      </c>
      <c r="E64" s="23" t="s">
        <v>162</v>
      </c>
      <c r="F64" s="12" t="s">
        <v>27</v>
      </c>
      <c r="G64" s="23" t="s">
        <v>187</v>
      </c>
      <c r="H64" s="23" t="s">
        <v>20</v>
      </c>
      <c r="I64" s="32" t="s">
        <v>21</v>
      </c>
      <c r="J64" s="23"/>
      <c r="K64" s="13"/>
      <c r="L64" s="62" t="s">
        <v>22</v>
      </c>
    </row>
    <row r="65" s="10" customFormat="1" ht="29.25" customHeight="1">
      <c r="A65" s="10" t="n">
        <v>56</v>
      </c>
      <c r="B65" s="57"/>
      <c r="C65" s="41" t="s">
        <v>163</v>
      </c>
      <c r="D65" s="43" t="s">
        <v>164</v>
      </c>
      <c r="E65" s="23" t="s">
        <v>165</v>
      </c>
      <c r="F65" s="12" t="s">
        <v>27</v>
      </c>
      <c r="G65" s="23" t="s">
        <v>187</v>
      </c>
      <c r="H65" s="23"/>
      <c r="I65" s="32" t="s">
        <v>21</v>
      </c>
      <c r="J65" s="23"/>
      <c r="K65" s="13"/>
      <c r="L65" s="62" t="s">
        <v>22</v>
      </c>
    </row>
    <row r="66" s="10" customFormat="1" ht="29.25" customHeight="1">
      <c r="A66" s="10" t="n">
        <v>57</v>
      </c>
      <c r="B66" s="57"/>
      <c r="C66" s="40"/>
      <c r="D66" s="40"/>
      <c r="E66" s="23" t="s">
        <v>166</v>
      </c>
      <c r="F66" s="12" t="s">
        <v>27</v>
      </c>
      <c r="G66" s="23" t="s">
        <v>187</v>
      </c>
      <c r="H66" s="23"/>
      <c r="I66" s="32" t="s">
        <v>21</v>
      </c>
      <c r="J66" s="23"/>
      <c r="K66" s="13"/>
      <c r="L66" s="62" t="s">
        <v>22</v>
      </c>
    </row>
    <row r="67" s="10" customFormat="1" ht="29.25" customHeight="1">
      <c r="A67" s="10" t="n">
        <v>58</v>
      </c>
      <c r="B67" s="57"/>
      <c r="C67" s="42"/>
      <c r="D67" s="40"/>
      <c r="E67" s="23" t="s">
        <v>167</v>
      </c>
      <c r="F67" s="12" t="s">
        <v>41</v>
      </c>
      <c r="G67" s="23" t="s">
        <v>187</v>
      </c>
      <c r="H67" s="23"/>
      <c r="I67" s="32" t="s">
        <v>21</v>
      </c>
      <c r="J67" s="23"/>
      <c r="K67" s="13"/>
      <c r="L67" s="62" t="s">
        <v>22</v>
      </c>
    </row>
    <row r="68" s="10" customFormat="1" ht="29.25" customHeight="1">
      <c r="A68" s="10" t="n">
        <v>59</v>
      </c>
      <c r="B68" s="57"/>
      <c r="C68" s="41" t="s">
        <v>76</v>
      </c>
      <c r="D68" s="43" t="s">
        <v>77</v>
      </c>
      <c r="E68" s="23" t="s">
        <v>168</v>
      </c>
      <c r="F68" s="12" t="s">
        <v>27</v>
      </c>
      <c r="G68" s="23" t="s">
        <v>187</v>
      </c>
      <c r="H68" s="23"/>
      <c r="I68" s="32" t="s">
        <v>21</v>
      </c>
      <c r="J68" s="23"/>
      <c r="K68" s="13"/>
      <c r="L68" s="62" t="s">
        <v>22</v>
      </c>
    </row>
    <row r="69" s="10" customFormat="1" ht="29.25" customHeight="1">
      <c r="A69" s="10" t="n">
        <v>60</v>
      </c>
      <c r="B69" s="57"/>
      <c r="C69" s="40"/>
      <c r="D69" s="40"/>
      <c r="E69" s="23" t="s">
        <v>83</v>
      </c>
      <c r="F69" s="12" t="s">
        <v>27</v>
      </c>
      <c r="G69" s="23" t="s">
        <v>187</v>
      </c>
      <c r="H69" s="23"/>
      <c r="I69" s="32" t="s">
        <v>21</v>
      </c>
      <c r="J69" s="23"/>
      <c r="K69" s="13"/>
      <c r="L69" s="62" t="s">
        <v>22</v>
      </c>
    </row>
    <row r="70" s="10" customFormat="1" ht="29.25" customHeight="1">
      <c r="A70" s="10" t="n">
        <v>61</v>
      </c>
      <c r="B70" s="57"/>
      <c r="C70" s="40"/>
      <c r="D70" s="43" t="s">
        <v>169</v>
      </c>
      <c r="E70" s="23" t="s">
        <v>169</v>
      </c>
      <c r="F70" s="12" t="s">
        <v>27</v>
      </c>
      <c r="G70" s="23" t="s">
        <v>187</v>
      </c>
      <c r="H70" s="23"/>
      <c r="I70" s="32" t="s">
        <v>21</v>
      </c>
      <c r="J70" s="23"/>
      <c r="K70" s="13"/>
      <c r="L70" s="62" t="s">
        <v>22</v>
      </c>
    </row>
    <row r="71" s="10" customFormat="1" ht="29.25" customHeight="1">
      <c r="A71" s="10" t="n">
        <v>62</v>
      </c>
      <c r="B71" s="57"/>
      <c r="C71" s="40"/>
      <c r="D71" s="43" t="s">
        <v>170</v>
      </c>
      <c r="E71" s="23" t="s">
        <v>170</v>
      </c>
      <c r="F71" s="12" t="s">
        <v>27</v>
      </c>
      <c r="G71" s="23" t="s">
        <v>187</v>
      </c>
      <c r="H71" s="23"/>
      <c r="I71" s="32" t="s">
        <v>21</v>
      </c>
      <c r="J71" s="23"/>
      <c r="K71" s="13"/>
      <c r="L71" s="62" t="s">
        <v>22</v>
      </c>
    </row>
    <row r="72" s="10" customFormat="1" ht="29.25" customHeight="1">
      <c r="A72" s="10" t="n">
        <v>63</v>
      </c>
      <c r="B72" s="44" t="s">
        <v>127</v>
      </c>
      <c r="C72" s="41" t="s">
        <v>128</v>
      </c>
      <c r="D72" s="43" t="s">
        <v>129</v>
      </c>
      <c r="E72" s="23" t="s">
        <v>130</v>
      </c>
      <c r="F72" s="12" t="s">
        <v>27</v>
      </c>
      <c r="G72" s="23" t="s">
        <v>174</v>
      </c>
      <c r="H72" s="23" t="s">
        <v>131</v>
      </c>
      <c r="I72" s="32" t="s">
        <v>16</v>
      </c>
      <c r="J72" s="23" t="s">
        <v>132</v>
      </c>
      <c r="K72" s="13"/>
      <c r="L72" s="62" t="s">
        <v>22</v>
      </c>
    </row>
    <row r="73" s="10" customFormat="1" ht="29.25" customHeight="1">
      <c r="A73" s="10" t="n">
        <v>64</v>
      </c>
      <c r="B73" s="57"/>
      <c r="C73" s="40"/>
      <c r="D73" s="40"/>
      <c r="E73" s="23" t="s">
        <v>133</v>
      </c>
      <c r="F73" s="12" t="s">
        <v>27</v>
      </c>
      <c r="G73" s="23" t="s">
        <v>174</v>
      </c>
      <c r="H73" s="23" t="s">
        <v>20</v>
      </c>
      <c r="I73" s="32" t="s">
        <v>21</v>
      </c>
      <c r="J73" s="23"/>
      <c r="K73" s="13"/>
      <c r="L73" s="62" t="s">
        <v>22</v>
      </c>
    </row>
    <row r="74" s="10" customFormat="1" ht="29.25" customHeight="1">
      <c r="B74" s="58"/>
      <c r="C74" s="47"/>
      <c r="D74" s="48"/>
      <c r="E74" s="47"/>
      <c r="F74" s="49"/>
      <c r="G74" s="47"/>
      <c r="H74" s="47"/>
      <c r="I74" s="50"/>
      <c r="J74" s="47"/>
      <c r="K74" s="51"/>
      <c r="L74" s="63"/>
    </row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</sheetData>
  <autoFilter ref="A4:XFD1048576"/>
  <mergeCells count="38">
    <mergeCell ref="B5:B8"/>
    <mergeCell ref="B2:L2"/>
    <mergeCell ref="C5:C8"/>
    <mergeCell ref="D5:D8"/>
    <mergeCell ref="C15:C16"/>
    <mergeCell ref="C21:C27"/>
    <mergeCell ref="D23:D26"/>
    <mergeCell ref="C28:C36"/>
    <mergeCell ref="C37:C42"/>
    <mergeCell ref="B9:B42"/>
    <mergeCell ref="D47:D49"/>
    <mergeCell ref="C45:C49"/>
    <mergeCell ref="D50:D51"/>
    <mergeCell ref="D53:D54"/>
    <mergeCell ref="C50:C54"/>
    <mergeCell ref="C55:C56"/>
    <mergeCell ref="D55:D56"/>
    <mergeCell ref="B43:B56"/>
    <mergeCell ref="C9:C12"/>
    <mergeCell ref="D9:D12"/>
    <mergeCell ref="C13:C14"/>
    <mergeCell ref="D13:D14"/>
    <mergeCell ref="C61:C62"/>
    <mergeCell ref="D65:D67"/>
    <mergeCell ref="C65:C67"/>
    <mergeCell ref="D68:D69"/>
    <mergeCell ref="D57:D60"/>
    <mergeCell ref="C57:C60"/>
    <mergeCell ref="C68:C71"/>
    <mergeCell ref="B57:B71"/>
    <mergeCell ref="D72:D73"/>
    <mergeCell ref="C72:C73"/>
    <mergeCell ref="B72:B73"/>
    <mergeCell ref="D37:D41"/>
    <mergeCell ref="D28:D31"/>
    <mergeCell ref="D18:D20"/>
    <mergeCell ref="C17:C20"/>
    <mergeCell ref="D33:D35"/>
  </mergeCells>
  <phoneticPr fontId="1" type="noConversion"/>
  <conditionalFormatting sqref="K4">
    <cfRule priority="1" type="expression" dxfId="0">
      <formula>AND(#REF!=TRUE,#REF!=TRUE)</formula>
    </cfRule>
  </conditionalFormatting>
  <conditionalFormatting sqref="K4">
    <cfRule priority="6" type="expression" dxfId="1">
      <formula>AND(NOT(ISBLANK(#REF!)),#REF!&lt;=TODAY())</formula>
    </cfRule>
  </conditionalFormatting>
  <conditionalFormatting sqref="K4">
    <cfRule priority="12" type="expression" dxfId="2">
      <formula>AND(NOT(ISBLANK(#REF!)),#REF!&lt;TODAY()+2)</formula>
    </cfRule>
  </conditionalFormatting>
  <conditionalFormatting sqref="I4">
    <cfRule priority="46" type="cellIs" operator="equal" dxfId="0">
      <formula>true</formula>
    </cfRule>
  </conditionalFormatting>
  <conditionalFormatting sqref="E4">
    <cfRule priority="3" type="expression" dxfId="0">
      <formula>$D1="全量交付"</formula>
    </cfRule>
  </conditionalFormatting>
  <conditionalFormatting sqref="I4 K4:L4">
    <cfRule priority="2" type="expression" dxfId="2">
      <formula>NOT(ISBLANK($L1))</formula>
    </cfRule>
  </conditionalFormatting>
  <conditionalFormatting sqref="K4:L4">
    <cfRule priority="4" type="expression" dxfId="0">
      <formula>#REF!="全量交付"</formula>
    </cfRule>
  </conditionalFormatting>
  <conditionalFormatting sqref="B4:B56 B74 D4:D8">
    <cfRule priority="3" type="expression" dxfId="0">
      <formula>$D2="全量交付"</formula>
    </cfRule>
  </conditionalFormatting>
  <dataValidations count="4">
    <dataValidation type="list" allowBlank="1" showErrorMessage="1" sqref="F5:F74">
      <formula1>"高,中,低,非必须"</formula1>
    </dataValidation>
    <dataValidation type="list" allowBlank="1" showErrorMessage="1" sqref="I5:I74">
      <formula1>"完全满足,基本满足,完全不满足"</formula1>
    </dataValidation>
    <dataValidation type="list" errorStyle="information" allowBlank="1" showErrorMessage="1" sqref="L5:L262">
      <formula1>"待排期,开发中,暂不响应,已完成,已排期"</formula1>
    </dataValidation>
    <dataValidation type="list" allowBlank="1" showErrorMessage="1" sqref="G5:G74">
      <formula1>"直播业务,录播业务,独立项目,七中前端班扫描教辅"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8740234375" customWidth="1"/>
    <col min="2" max="2" width="14.4990234375" customWidth="1"/>
    <col min="3" max="3" width="47.625" customWidth="1"/>
    <col min="4" max="4" width="13.3740234375" customWidth="1"/>
    <col min="5" max="5" width="16.5" customWidth="1"/>
    <col min="6" max="6" width="11.25" customWidth="1"/>
    <col min="7" max="7" width="37.728515625" customWidth="1"/>
    <col min="8" max="8" width="16.5498046875" customWidth="1"/>
    <col min="9" max="9" width="31.998046875" customWidth="1"/>
  </cols>
  <sheetData>
    <row r="1" ht="35.25" customHeight="1">
      <c r="A1" s="20" t="s">
        <v>188</v>
      </c>
      <c r="B1" s="36"/>
      <c r="C1" s="36"/>
      <c r="D1" s="36"/>
      <c r="E1" s="36"/>
      <c r="F1" s="36"/>
      <c r="G1" s="36"/>
    </row>
    <row r="2" ht="5.25" customHeight="1">
      <c r="A2" s="53"/>
      <c r="B2" s="53"/>
      <c r="C2" s="21"/>
      <c r="D2" s="21"/>
      <c r="E2" s="21"/>
      <c r="F2" s="9"/>
      <c r="G2" s="60"/>
    </row>
    <row r="3" ht="16.5" customHeight="1">
      <c r="A3" s="22" t="s">
        <v>189</v>
      </c>
      <c r="B3" s="22" t="s">
        <v>190</v>
      </c>
      <c r="C3" s="22" t="s">
        <v>191</v>
      </c>
      <c r="D3" s="22" t="s">
        <v>192</v>
      </c>
      <c r="E3" s="22" t="s">
        <v>8</v>
      </c>
      <c r="F3" s="22" t="s">
        <v>9</v>
      </c>
      <c r="G3" s="22" t="s">
        <v>193</v>
      </c>
    </row>
    <row r="4" ht="70.75000000000001" customHeight="1">
      <c r="A4" s="17" t="s">
        <v>194</v>
      </c>
      <c r="B4" s="17" t="s">
        <v>195</v>
      </c>
      <c r="C4" s="65" t="s">
        <v>196</v>
      </c>
      <c r="D4" s="4" t="s">
        <v>197</v>
      </c>
      <c r="G4" s="66" t="s">
        <v>198</v>
      </c>
    </row>
    <row r="5" ht="27.125" customHeight="1">
      <c r="A5" s="17"/>
      <c r="B5" s="17" t="s">
        <v>199</v>
      </c>
      <c r="C5" s="4" t="s">
        <v>200</v>
      </c>
      <c r="D5" s="4" t="s">
        <v>201</v>
      </c>
    </row>
    <row r="6" ht="27.125" customHeight="1">
      <c r="A6" s="17"/>
      <c r="B6" s="17"/>
      <c r="C6" s="4" t="s">
        <v>202</v>
      </c>
      <c r="D6" s="4" t="s">
        <v>197</v>
      </c>
      <c r="H6" s="3" t="s">
        <v>203</v>
      </c>
      <c r="I6" s="3" t="s">
        <v>204</v>
      </c>
    </row>
    <row r="7" ht="27.125" customHeight="1">
      <c r="A7" s="17"/>
      <c r="B7" s="17"/>
      <c r="C7" s="4" t="s">
        <v>205</v>
      </c>
      <c r="D7" s="4" t="s">
        <v>197</v>
      </c>
      <c r="H7" s="3" t="s">
        <v>206</v>
      </c>
      <c r="I7" s="3" t="s">
        <v>207</v>
      </c>
    </row>
    <row r="8" ht="19.88362068965517" customHeight="1">
      <c r="A8" s="17"/>
      <c r="B8" s="17"/>
      <c r="C8" s="4" t="s">
        <v>208</v>
      </c>
      <c r="D8" s="4" t="s">
        <v>197</v>
      </c>
      <c r="G8" s="67" t="s">
        <v>209</v>
      </c>
      <c r="H8" s="4" t="s">
        <v>210</v>
      </c>
    </row>
    <row r="9" ht="24" customHeight="1">
      <c r="A9" s="17"/>
      <c r="B9" s="17"/>
      <c r="C9" s="4" t="s">
        <v>211</v>
      </c>
      <c r="D9" s="4" t="s">
        <v>201</v>
      </c>
    </row>
    <row r="10" ht="16.5" customHeight="1">
      <c r="A10" s="17"/>
      <c r="B10" s="17" t="s">
        <v>212</v>
      </c>
      <c r="C10" s="4" t="s">
        <v>213</v>
      </c>
      <c r="D10" s="4" t="s">
        <v>214</v>
      </c>
    </row>
    <row r="11" ht="16.5" customHeight="1">
      <c r="A11" s="17"/>
      <c r="B11" s="17"/>
      <c r="C11" s="4" t="s">
        <v>215</v>
      </c>
      <c r="D11" s="4" t="s">
        <v>201</v>
      </c>
    </row>
    <row r="12" ht="16.5" customHeight="1">
      <c r="A12" s="17"/>
      <c r="B12" s="17"/>
      <c r="C12" s="4" t="s">
        <v>216</v>
      </c>
      <c r="D12" s="4" t="s">
        <v>197</v>
      </c>
      <c r="F12" s="4" t="s">
        <v>18</v>
      </c>
    </row>
    <row r="13" ht="27.75" customHeight="1">
      <c r="A13" s="17"/>
      <c r="B13" s="17" t="s">
        <v>217</v>
      </c>
      <c r="C13" s="4" t="s">
        <v>218</v>
      </c>
      <c r="D13" s="4" t="s">
        <v>197</v>
      </c>
      <c r="H13" s="3" t="s">
        <v>219</v>
      </c>
    </row>
    <row r="14" ht="16.5" customHeight="1">
      <c r="A14" s="17"/>
      <c r="B14" s="17"/>
      <c r="C14" s="4" t="s">
        <v>220</v>
      </c>
      <c r="D14" s="4" t="s">
        <v>214</v>
      </c>
    </row>
    <row r="15" ht="16.5" customHeight="1">
      <c r="A15" s="17"/>
      <c r="B15" s="17"/>
      <c r="C15" s="4" t="s">
        <v>221</v>
      </c>
      <c r="D15" s="4" t="s">
        <v>214</v>
      </c>
      <c r="G15" s="29" t="s">
        <v>222</v>
      </c>
    </row>
    <row r="16" ht="16.5" customHeight="1">
      <c r="A16" s="17"/>
      <c r="B16" s="17" t="s">
        <v>223</v>
      </c>
      <c r="C16" s="4" t="s">
        <v>224</v>
      </c>
      <c r="D16" s="4" t="s">
        <v>214</v>
      </c>
    </row>
    <row r="17" ht="16.5" customHeight="1">
      <c r="A17" s="17"/>
      <c r="B17" s="17"/>
      <c r="C17" s="4" t="s">
        <v>225</v>
      </c>
      <c r="D17" s="4" t="s">
        <v>201</v>
      </c>
    </row>
    <row r="18" ht="33" customHeight="1">
      <c r="A18" s="17"/>
      <c r="B18" s="17"/>
      <c r="C18" s="4" t="s">
        <v>226</v>
      </c>
      <c r="D18" s="4" t="s">
        <v>197</v>
      </c>
      <c r="H18" s="3" t="s">
        <v>227</v>
      </c>
    </row>
    <row r="19" ht="41.25" customHeight="1">
      <c r="A19" s="17"/>
      <c r="B19" s="17"/>
      <c r="C19" s="4" t="s">
        <v>228</v>
      </c>
      <c r="D19" s="4" t="s">
        <v>197</v>
      </c>
      <c r="H19" s="3" t="s">
        <v>229</v>
      </c>
    </row>
    <row r="20" ht="16.5" customHeight="1">
      <c r="A20" s="17"/>
      <c r="B20" s="17"/>
      <c r="C20" s="4" t="s">
        <v>230</v>
      </c>
      <c r="D20" s="4" t="s">
        <v>201</v>
      </c>
      <c r="G20" s="29" t="s">
        <v>231</v>
      </c>
    </row>
    <row r="21" s="31" customFormat="1" ht="22.75" customHeight="1">
      <c r="A21" s="33" t="s">
        <v>232</v>
      </c>
      <c r="B21" s="33" t="s">
        <v>233</v>
      </c>
      <c r="C21" s="31" t="s">
        <v>234</v>
      </c>
      <c r="D21" s="31" t="s">
        <v>197</v>
      </c>
      <c r="F21" s="31" t="s">
        <v>235</v>
      </c>
      <c r="G21" s="34" t="s">
        <v>236</v>
      </c>
    </row>
    <row r="22" ht="22.75" customHeight="1">
      <c r="B22" s="17" t="s">
        <v>237</v>
      </c>
      <c r="C22" s="4" t="s">
        <v>238</v>
      </c>
      <c r="D22" s="4" t="s">
        <v>201</v>
      </c>
    </row>
    <row r="23" ht="29.625" customHeight="1">
      <c r="A23" s="17" t="s">
        <v>239</v>
      </c>
      <c r="B23" s="17" t="s">
        <v>195</v>
      </c>
      <c r="C23" s="4" t="s">
        <v>240</v>
      </c>
      <c r="D23" s="4" t="s">
        <v>201</v>
      </c>
      <c r="G23" s="3" t="s">
        <v>241</v>
      </c>
    </row>
    <row r="24" ht="29.625" customHeight="1">
      <c r="A24" s="17"/>
      <c r="C24" s="4" t="s">
        <v>242</v>
      </c>
      <c r="D24" s="4" t="s">
        <v>214</v>
      </c>
    </row>
    <row r="25" ht="24.624999999999996" customHeight="1">
      <c r="B25" s="17" t="s">
        <v>243</v>
      </c>
      <c r="C25" s="4" t="s">
        <v>244</v>
      </c>
      <c r="D25" s="4" t="s">
        <v>201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</sheetData>
  <autoFilter ref="A3:XFD1048576"/>
  <mergeCells count="9">
    <mergeCell ref="A1:G1"/>
    <mergeCell ref="B10:B12"/>
    <mergeCell ref="B5:B9"/>
    <mergeCell ref="B16:B20"/>
    <mergeCell ref="A4:A20"/>
    <mergeCell ref="B13:B15"/>
    <mergeCell ref="A23:A25"/>
    <mergeCell ref="B23:B24"/>
    <mergeCell ref="A21:A22"/>
  </mergeCells>
  <phoneticPr fontId="1" type="noConversion"/>
  <conditionalFormatting sqref="B3:G3">
    <cfRule priority="3" type="expression" dxfId="0">
      <formula>$F2="全量交付"</formula>
    </cfRule>
  </conditionalFormatting>
  <dataValidations count="1">
    <dataValidation type="list" allowBlank="1" showErrorMessage="1" sqref="D4:D37">
      <formula1>"P0,P1,P2,P3"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2026-07-15T20:49:03Z</dcterms:modified>
</cp:coreProperties>
</file>